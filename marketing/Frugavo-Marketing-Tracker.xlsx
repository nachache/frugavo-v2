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X Activity" sheetId="2" state="visible" r:id="rId4"/>
    <sheet name="Newsletters" sheetId="3" state="visible" r:id="rId5"/>
    <sheet name="Google Ads" sheetId="4" state="visible" r:id="rId6"/>
    <sheet name="SEO Content" sheetId="5" state="visible" r:id="rId7"/>
    <sheet name="Weekly Metrics" sheetId="6" state="visible" r:id="rId8"/>
    <sheet name="UTM Builder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<sst xmlns="http://schemas.openxmlformats.org/spreadsheetml/2006/main" count="303" uniqueCount="222">
  <si>
    <t xml:space="preserve">Frugavo — Marketing Tracker</t>
  </si>
  <si>
    <t xml:space="preserve">Pilot, measure, scale or kill. Update as you go.</t>
  </si>
  <si>
    <t xml:space="preserve">Last updated</t>
  </si>
  <si>
    <t xml:space="preserve">2026-05-29</t>
  </si>
  <si>
    <t xml:space="preserve">Legend</t>
  </si>
  <si>
    <t xml:space="preserve">Piloting</t>
  </si>
  <si>
    <t xml:space="preserve">Scaling</t>
  </si>
  <si>
    <t xml:space="preserve">Killed</t>
  </si>
  <si>
    <t xml:space="preserve">Not started</t>
  </si>
  <si>
    <t xml:space="preserve">Tactic</t>
  </si>
  <si>
    <t xml:space="preserve">Status</t>
  </si>
  <si>
    <t xml:space="preserve">Pilot budget</t>
  </si>
  <si>
    <t xml:space="preserve">Spent to date</t>
  </si>
  <si>
    <t xml:space="preserve">Signups</t>
  </si>
  <si>
    <t xml:space="preserve">CPL (cost/signup)</t>
  </si>
  <si>
    <t xml:space="preserve">Success metric</t>
  </si>
  <si>
    <t xml:space="preserve">Scale threshold</t>
  </si>
  <si>
    <t xml:space="preserve">Kill threshold</t>
  </si>
  <si>
    <t xml:space="preserve">Decision deadline</t>
  </si>
  <si>
    <t xml:space="preserve">Notes</t>
  </si>
  <si>
    <t xml:space="preserve">X Premium (@frugavohq)</t>
  </si>
  <si>
    <t xml:space="preserve">Reply impressions, profile clicks</t>
  </si>
  <si>
    <t xml:space="preserve">Replies surface in big-account threads</t>
  </si>
  <si>
    <t xml:space="preserve">60 days, no measurable reply visibility lift</t>
  </si>
  <si>
    <t xml:space="preserve">60 days from start</t>
  </si>
  <si>
    <t xml:space="preserve">X organic replies (founder-led)</t>
  </si>
  <si>
    <t xml:space="preserve">Follower quality, profile clicks</t>
  </si>
  <si>
    <t xml:space="preserve">Reply rate from target audience rises</t>
  </si>
  <si>
    <t xml:space="preserve">60 days, broadcast-only with no engagement</t>
  </si>
  <si>
    <t xml:space="preserve">3–5 replies/day in fintech + personal-finance corners</t>
  </si>
  <si>
    <t xml:space="preserve">Newsletter sponsorships</t>
  </si>
  <si>
    <t xml:space="preserve">Signups via UTM</t>
  </si>
  <si>
    <t xml:space="preserve">One publication delivers CPL under $30</t>
  </si>
  <si>
    <t xml:space="preserve">All slots flat after 60 days</t>
  </si>
  <si>
    <t xml:space="preserve">60 days from first slot</t>
  </si>
  <si>
    <t xml:space="preserve">Run 3–5 slots in parallel</t>
  </si>
  <si>
    <t xml:space="preserve">Google Search ads</t>
  </si>
  <si>
    <t xml:space="preserve">Cost per signup, then activation rate</t>
  </si>
  <si>
    <t xml:space="preserve">Activation rate above 25% → scale to $100–200/day</t>
  </si>
  <si>
    <t xml:space="preserve">Activation rate below 10% after 30 days</t>
  </si>
  <si>
    <t xml:space="preserve">30 days from launch</t>
  </si>
  <si>
    <t xml:space="preserve">Intent kw: subscription audit, find forgotten subs</t>
  </si>
  <si>
    <t xml:space="preserve">SEO content engine</t>
  </si>
  <si>
    <t xml:space="preserve">Organic traffic month-over-month</t>
  </si>
  <si>
    <t xml:space="preserve">1k+ qualified visitors/mo by month 6</t>
  </si>
  <si>
    <t xml:space="preserve">No growth by month 6</t>
  </si>
  <si>
    <t xml:space="preserve">Month 6</t>
  </si>
  <si>
    <t xml:space="preserve">Freelance writer, 2 pieces/mo</t>
  </si>
  <si>
    <t xml:space="preserve">Product Hunt launch</t>
  </si>
  <si>
    <t xml:space="preserve">Daily signups + follower spike</t>
  </si>
  <si>
    <t xml:space="preserve">Top 5 finish on launch day</t>
  </si>
  <si>
    <t xml:space="preserve">n/a (one-shot)</t>
  </si>
  <si>
    <t xml:space="preserve">Launch day +7</t>
  </si>
  <si>
    <t xml:space="preserve">Launch only when 30+ users seeded</t>
  </si>
  <si>
    <t xml:space="preserve">Show HN</t>
  </si>
  <si>
    <t xml:space="preserve">Front-page reach + signups</t>
  </si>
  <si>
    <t xml:space="preserve">Front page for 6+ hours</t>
  </si>
  <si>
    <t xml:space="preserve">Launch day +3</t>
  </si>
  <si>
    <t xml:space="preserve">Time post for 9–11am ET Tue/Wed/Thu</t>
  </si>
  <si>
    <t xml:space="preserve">Total</t>
  </si>
  <si>
    <t xml:space="preserve">X — daily reply log</t>
  </si>
  <si>
    <t xml:space="preserve">Goal: 3–5 thoughtful replies/day in personal-finance + indie-hacker corners.</t>
  </si>
  <si>
    <t xml:space="preserve">Date</t>
  </si>
  <si>
    <t xml:space="preserve">Account replied to</t>
  </si>
  <si>
    <t xml:space="preserve">Account size (followers)</t>
  </si>
  <si>
    <t xml:space="preserve">Post topic</t>
  </si>
  <si>
    <t xml:space="preserve">My reply (short summary)</t>
  </si>
  <si>
    <t xml:space="preserve">Within first hour?</t>
  </si>
  <si>
    <t xml:space="preserve">Impressions</t>
  </si>
  <si>
    <t xml:space="preserve">Likes on my reply</t>
  </si>
  <si>
    <t xml:space="preserve">Profile clicks attributed</t>
  </si>
  <si>
    <t xml:space="preserve">New followers gained</t>
  </si>
  <si>
    <t xml:space="preserve">Weekly summary</t>
  </si>
  <si>
    <t xml:space="preserve">Replies last 7 days</t>
  </si>
  <si>
    <t xml:space="preserve">Replies last 30 days</t>
  </si>
  <si>
    <t xml:space="preserve">Total impressions (30d)</t>
  </si>
  <si>
    <t xml:space="preserve">Total profile clicks (30d)</t>
  </si>
  <si>
    <t xml:space="preserve">Total new followers (30d)</t>
  </si>
  <si>
    <t xml:space="preserve">Newsletter sponsorships — pipeline</t>
  </si>
  <si>
    <t xml:space="preserve">Run 3–5 slots in parallel. Scale the one that delivers CPL under $30.</t>
  </si>
  <si>
    <t xml:space="preserve">Newsletter</t>
  </si>
  <si>
    <t xml:space="preserve">Publisher</t>
  </si>
  <si>
    <t xml:space="preserve">Niche</t>
  </si>
  <si>
    <t xml:space="preserve">Subscribers</t>
  </si>
  <si>
    <t xml:space="preserve">Open rate</t>
  </si>
  <si>
    <t xml:space="preserve">Contact email</t>
  </si>
  <si>
    <t xml:space="preserve">Quoted slot price</t>
  </si>
  <si>
    <t xml:space="preserve">Slot date</t>
  </si>
  <si>
    <t xml:space="preserve">UTM source</t>
  </si>
  <si>
    <t xml:space="preserve">Spent</t>
  </si>
  <si>
    <t xml:space="preserve">CPL</t>
  </si>
  <si>
    <t xml:space="preserve">Activated (completed scan)</t>
  </si>
  <si>
    <t xml:space="preserve">Activation rate</t>
  </si>
  <si>
    <t xml:space="preserve">Decision</t>
  </si>
  <si>
    <t xml:space="preserve">Money With Katie</t>
  </si>
  <si>
    <t xml:space="preserve">Morning Brew</t>
  </si>
  <si>
    <t xml:space="preserve">personal finance</t>
  </si>
  <si>
    <t xml:space="preserve">Researching</t>
  </si>
  <si>
    <t xml:space="preserve">newsletter_moneywithkatie</t>
  </si>
  <si>
    <t xml:space="preserve">Of Dollars and Data</t>
  </si>
  <si>
    <t xml:space="preserve">Nick Maggiulli</t>
  </si>
  <si>
    <t xml:space="preserve">investing/PF</t>
  </si>
  <si>
    <t xml:space="preserve">newsletter_ofdollarsanddata</t>
  </si>
  <si>
    <t xml:space="preserve">The Profile</t>
  </si>
  <si>
    <t xml:space="preserve">Polina Marinova Pompliano</t>
  </si>
  <si>
    <t xml:space="preserve">founder culture</t>
  </si>
  <si>
    <t xml:space="preserve">newsletter_theprofile</t>
  </si>
  <si>
    <t xml:space="preserve">The Pour Over</t>
  </si>
  <si>
    <t xml:space="preserve">TPO</t>
  </si>
  <si>
    <t xml:space="preserve">calm media</t>
  </si>
  <si>
    <t xml:space="preserve">newsletter_thepourover</t>
  </si>
  <si>
    <t xml:space="preserve">Indie Hackers newsletter</t>
  </si>
  <si>
    <t xml:space="preserve">Stripe</t>
  </si>
  <si>
    <t xml:space="preserve">indie builders</t>
  </si>
  <si>
    <t xml:space="preserve">newsletter_indiehackers</t>
  </si>
  <si>
    <t xml:space="preserve">Totals</t>
  </si>
  <si>
    <t xml:space="preserve">Google Search ads — pilot</t>
  </si>
  <si>
    <t xml:space="preserve">30-day pilot at $30–50/day. Scale if activation &gt; 25%. Kill if &lt; 10%.</t>
  </si>
  <si>
    <t xml:space="preserve">Keyword / ad group</t>
  </si>
  <si>
    <t xml:space="preserve">Match type</t>
  </si>
  <si>
    <t xml:space="preserve">Daily budget</t>
  </si>
  <si>
    <t xml:space="preserve">Spend to date</t>
  </si>
  <si>
    <t xml:space="preserve">Clicks</t>
  </si>
  <si>
    <t xml:space="preserve">CTR</t>
  </si>
  <si>
    <t xml:space="preserve">CPA (cost per activated)</t>
  </si>
  <si>
    <t xml:space="preserve">subscription audit</t>
  </si>
  <si>
    <t xml:space="preserve">Phrase</t>
  </si>
  <si>
    <t xml:space="preserve">find forgotten subscriptions</t>
  </si>
  <si>
    <t xml:space="preserve">what am I paying for monthly</t>
  </si>
  <si>
    <t xml:space="preserve">Broad</t>
  </si>
  <si>
    <t xml:space="preserve">cancel forgotten subscriptions</t>
  </si>
  <si>
    <t xml:space="preserve">subscription tracker app</t>
  </si>
  <si>
    <t xml:space="preserve">how much do I spend on subscriptions</t>
  </si>
  <si>
    <t xml:space="preserve">2 pieces / month. 12-month bet. Compounds — don't expect signal before month 4.</t>
  </si>
  <si>
    <t xml:space="preserve">Article title</t>
  </si>
  <si>
    <t xml:space="preserve">Target keyword</t>
  </si>
  <si>
    <t xml:space="preserve">Search volume (est.)</t>
  </si>
  <si>
    <t xml:space="preserve">Writer</t>
  </si>
  <si>
    <t xml:space="preserve">Brief sent</t>
  </si>
  <si>
    <t xml:space="preserve">Draft due</t>
  </si>
  <si>
    <t xml:space="preserve">Published date</t>
  </si>
  <si>
    <t xml:space="preserve">URL slug</t>
  </si>
  <si>
    <t xml:space="preserve">Word count</t>
  </si>
  <si>
    <t xml:space="preserve">Cost paid</t>
  </si>
  <si>
    <t xml:space="preserve">Google rank (current)</t>
  </si>
  <si>
    <t xml:space="preserve">Monthly impressions</t>
  </si>
  <si>
    <t xml:space="preserve">Monthly clicks</t>
  </si>
  <si>
    <t xml:space="preserve">What subscriptions am I paying for? The honest answer</t>
  </si>
  <si>
    <t xml:space="preserve">what subscriptions am I paying for</t>
  </si>
  <si>
    <t xml:space="preserve">Idea</t>
  </si>
  <si>
    <t xml:space="preserve">Why your subscription bill is higher than you think</t>
  </si>
  <si>
    <t xml:space="preserve">subscription bill higher than I think</t>
  </si>
  <si>
    <t xml:space="preserve">How to find every recurring charge on your card</t>
  </si>
  <si>
    <t xml:space="preserve">find recurring charges credit card</t>
  </si>
  <si>
    <t xml:space="preserve">The 2026 subscription audit: a calm method</t>
  </si>
  <si>
    <t xml:space="preserve">subscription audit method 2026</t>
  </si>
  <si>
    <t xml:space="preserve">Why Americans underestimate their subscription total by 60%</t>
  </si>
  <si>
    <t xml:space="preserve">americans subscription total underestimate</t>
  </si>
  <si>
    <t xml:space="preserve">Weekly numbers</t>
  </si>
  <si>
    <t xml:space="preserve">Every Sunday: copy from your dashboard, paste here. One row per week.</t>
  </si>
  <si>
    <t xml:space="preserve">Week ending</t>
  </si>
  <si>
    <t xml:space="preserve">New signups (total)</t>
  </si>
  <si>
    <t xml:space="preserve">From X</t>
  </si>
  <si>
    <t xml:space="preserve">From newsletter</t>
  </si>
  <si>
    <t xml:space="preserve">From Google</t>
  </si>
  <si>
    <t xml:space="preserve">From SEO/organic</t>
  </si>
  <si>
    <t xml:space="preserve">From direct/other</t>
  </si>
  <si>
    <t xml:space="preserve">Week-2 retention</t>
  </si>
  <si>
    <t xml:space="preserve">Spend this week</t>
  </si>
  <si>
    <t xml:space="preserve">CPL this week</t>
  </si>
  <si>
    <t xml:space="preserve">Followers gained (@frugavohq)</t>
  </si>
  <si>
    <t xml:space="preserve">UTM URL builder</t>
  </si>
  <si>
    <t xml:space="preserve">Paste your destination URL + the fields below; the builder concatenates a tracked link.</t>
  </si>
  <si>
    <t xml:space="preserve">Convention</t>
  </si>
  <si>
    <t xml:space="preserve">utm_source</t>
  </si>
  <si>
    <t xml:space="preserve">Where the click originates. Lowercase, underscores. e.g. x, newsletter_moneywithkatie, google, producthunt, hn</t>
  </si>
  <si>
    <t xml:space="preserve">utm_medium</t>
  </si>
  <si>
    <t xml:space="preserve">Channel category: social, email, cpc, organic, referral, qr</t>
  </si>
  <si>
    <t xml:space="preserve">utm_campaign</t>
  </si>
  <si>
    <t xml:space="preserve">Specific initiative: founder_access_launch, x_reply_burst_jul, gads_intent_jul, mwk_sponsorship_1</t>
  </si>
  <si>
    <t xml:space="preserve">utm_content</t>
  </si>
  <si>
    <t xml:space="preserve">Variant tag: optional. e.g. hero_cta, footer_cta, ad_variant_a, post_pin</t>
  </si>
  <si>
    <t xml:space="preserve">utm_term</t>
  </si>
  <si>
    <t xml:space="preserve">Paid-search keyword. Auto-populated by Google Ads; only set manually for newsletter slot ad copy variants</t>
  </si>
  <si>
    <t xml:space="preserve">Builder</t>
  </si>
  <si>
    <t xml:space="preserve">Destination URL</t>
  </si>
  <si>
    <t xml:space="preserve">https://frugavo.com/sign-up</t>
  </si>
  <si>
    <t xml:space="preserve">email</t>
  </si>
  <si>
    <t xml:space="preserve">mwk_sponsorship_1</t>
  </si>
  <si>
    <t xml:space="preserve">Generated URL</t>
  </si>
  <si>
    <t xml:space="preserve">Common pre-built URLs</t>
  </si>
  <si>
    <t xml:space="preserve">Channel / placement</t>
  </si>
  <si>
    <t xml:space="preserve">Destination</t>
  </si>
  <si>
    <t xml:space="preserve">@frugavohq bio link</t>
  </si>
  <si>
    <t xml:space="preserve">x_bio</t>
  </si>
  <si>
    <t xml:space="preserve">social</t>
  </si>
  <si>
    <t xml:space="preserve">founder_access_launch</t>
  </si>
  <si>
    <t xml:space="preserve">https://frugavo.com</t>
  </si>
  <si>
    <t xml:space="preserve">@frugavohq pinned post</t>
  </si>
  <si>
    <t xml:space="preserve">x_pinned</t>
  </si>
  <si>
    <t xml:space="preserve">@frugavohq reply link (rare use)</t>
  </si>
  <si>
    <t xml:space="preserve">x_reply</t>
  </si>
  <si>
    <t xml:space="preserve">Money With Katie newsletter</t>
  </si>
  <si>
    <t xml:space="preserve">Of Dollars and Data newsletter</t>
  </si>
  <si>
    <t xml:space="preserve">odd_sponsorship_1</t>
  </si>
  <si>
    <t xml:space="preserve">ih_sponsorship_1</t>
  </si>
  <si>
    <t xml:space="preserve">The Profile newsletter</t>
  </si>
  <si>
    <t xml:space="preserve">tp_sponsorship_1</t>
  </si>
  <si>
    <t xml:space="preserve">The Pour Over newsletter</t>
  </si>
  <si>
    <t xml:space="preserve">tpo_sponsorship_1</t>
  </si>
  <si>
    <t xml:space="preserve">Google Search (auto-tagging)</t>
  </si>
  <si>
    <t xml:space="preserve">google</t>
  </si>
  <si>
    <t xml:space="preserve">cpc</t>
  </si>
  <si>
    <t xml:space="preserve">intent_kw_pilot</t>
  </si>
  <si>
    <t xml:space="preserve">producthunt</t>
  </si>
  <si>
    <t xml:space="preserve">referral</t>
  </si>
  <si>
    <t xml:space="preserve">ph_launch</t>
  </si>
  <si>
    <t xml:space="preserve">hn</t>
  </si>
  <si>
    <t xml:space="preserve">hn_show</t>
  </si>
  <si>
    <t xml:space="preserve">Reddit r/personalfinance comment</t>
  </si>
  <si>
    <t xml:space="preserve">reddit_personalfinance</t>
  </si>
  <si>
    <t xml:space="preserve">reddit_organic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</si>
</sst>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\$#,##0;&quot;($&quot;#,##0\);\-"/>
    <numFmt numFmtId="166" formatCode="#,##0;\(#,##0\);\-"/>
    <numFmt numFmtId="167" formatCode="\$#,##0.00;&quot;($&quot;#,##0.00\);\-"/>
    <numFmt numFmtId="168" formatCode="\$#,##0"/>
    <numFmt numFmtId="169" formatCode="#,##0"/>
    <numFmt numFmtId="170" formatCode="yyyy\-mm\-dd"/>
    <numFmt numFmtId="171" formatCode="0%"/>
    <numFmt numFmtId="172" formatCode="0%;\(0%\);\-"/>
    <numFmt numFmtId="173" formatCode="\$#,##0.00;\-"/>
    <numFmt numFmtId="174" formatCode="0%;\-"/>
    <numFmt numFmtId="175" formatCode="\$#,##0;\-"/>
    <numFmt numFmtId="176" formatCode="0.00%;\-"/>
    <numFmt numFmtId="177" formatCode="\$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0F172A"/>
      <name val="Arial"/>
      <family val="0"/>
      <charset val="1"/>
    </font>
    <font>
      <i val="true"/>
      <sz val="11"/>
      <color rgb="FF64748B"/>
      <name val="Arial"/>
      <family val="0"/>
      <charset val="1"/>
    </font>
    <font>
      <b val="true"/>
      <sz val="11"/>
      <color rgb="FF0F172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F172A"/>
      <name val="Arial"/>
      <family val="0"/>
      <charset val="1"/>
    </font>
    <font>
      <sz val="11"/>
      <color rgb="FF0F172A"/>
      <name val="Arial"/>
      <family val="0"/>
      <charset val="1"/>
    </font>
    <font>
      <b val="true"/>
      <sz val="12"/>
      <color rgb="FF0F172A"/>
      <name val="Arial"/>
      <family val="0"/>
      <charset val="1"/>
    </font>
    <font>
      <b val="true"/>
      <sz val="11"/>
      <color rgb="FF047857"/>
      <name val="Arial"/>
      <family val="0"/>
      <charset val="1"/>
    </font>
    <font>
      <sz val="11"/>
      <color rgb="FF047857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EF3C7"/>
        <bgColor rgb="FFFEE2E2"/>
      </patternFill>
    </fill>
    <fill>
      <patternFill patternType="solid">
        <fgColor rgb="FFD1FAE5"/>
        <bgColor rgb="FFE5E7EB"/>
      </patternFill>
    </fill>
    <fill>
      <patternFill patternType="solid">
        <fgColor rgb="FFFEE2E2"/>
        <bgColor rgb="FFE5E7EB"/>
      </patternFill>
    </fill>
    <fill>
      <patternFill patternType="solid">
        <fgColor rgb="FFF1F5F9"/>
        <bgColor rgb="FFFFFFFF"/>
      </patternFill>
    </fill>
    <fill>
      <patternFill patternType="solid">
        <fgColor rgb="FF0F172A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73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73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76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7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77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EF3C7"/>
        </patternFill>
      </fill>
    </dxf>
    <dxf>
      <fill>
        <patternFill>
          <bgColor rgb="FFD1FAE5"/>
        </patternFill>
      </fill>
    </dxf>
    <dxf>
      <fill>
        <patternFill>
          <bgColor rgb="FFFEE2E2"/>
        </patternFill>
      </fill>
    </dxf>
    <dxf>
      <fill>
        <patternFill>
          <bgColor rgb="FFF1F5F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47857"/>
      <rgbColor rgb="FFC0C0C0"/>
      <rgbColor rgb="FF808080"/>
      <rgbColor rgb="FF9999FF"/>
      <rgbColor rgb="FF993366"/>
      <rgbColor rgb="FFFEF3C7"/>
      <rgbColor rgb="FFF1F5F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D1FAE5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4748B"/>
      <rgbColor rgb="FF969696"/>
      <rgbColor rgb="FF003366"/>
      <rgbColor rgb="FF339966"/>
      <rgbColor rgb="FF0F172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28"/>
    <col collapsed="false" customWidth="true" hidden="false" outlineLevel="0" max="9" min="8" style="0" width="30"/>
    <col collapsed="false" customWidth="true" hidden="false" outlineLevel="0" max="10" min="10" style="0" width="18"/>
    <col collapsed="false" customWidth="true" hidden="false" outlineLevel="0" max="11" min="11" style="0" width="32"/>
  </cols>
  <sheetData>
    <row r="1" customFormat="false" ht="26.8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0" t="s">
        <v>3</v>
      </c>
      <c r="D4" s="3" t="s">
        <v>4</v>
      </c>
      <c r="E4" s="4" t="s">
        <v>5</v>
      </c>
      <c r="F4" s="5" t="s">
        <v>6</v>
      </c>
      <c r="G4" s="6" t="s">
        <v>7</v>
      </c>
      <c r="H4" s="7" t="s">
        <v>8</v>
      </c>
    </row>
    <row r="6" customFormat="false" ht="36" hidden="false" customHeight="true" outlineLevel="0" collapsed="false">
      <c r="A6" s="8" t="s">
        <v>9</v>
      </c>
      <c r="B6" s="8" t="s">
        <v>10</v>
      </c>
      <c r="C6" s="8" t="s">
        <v>11</v>
      </c>
      <c r="D6" s="8" t="s">
        <v>12</v>
      </c>
      <c r="E6" s="8" t="s">
        <v>13</v>
      </c>
      <c r="F6" s="8" t="s">
        <v>14</v>
      </c>
      <c r="G6" s="8" t="s">
        <v>15</v>
      </c>
      <c r="H6" s="8" t="s">
        <v>16</v>
      </c>
      <c r="I6" s="8" t="s">
        <v>17</v>
      </c>
      <c r="J6" s="8" t="s">
        <v>18</v>
      </c>
      <c r="K6" s="8" t="s">
        <v>19</v>
      </c>
    </row>
    <row r="7" customFormat="false" ht="48" hidden="false" customHeight="true" outlineLevel="0" collapsed="false">
      <c r="A7" s="9" t="s">
        <v>20</v>
      </c>
      <c r="B7" s="9" t="s">
        <v>8</v>
      </c>
      <c r="C7" s="10" t="n">
        <v>8</v>
      </c>
      <c r="D7" s="10" t="n">
        <v>0</v>
      </c>
      <c r="E7" s="11" t="n">
        <v>0</v>
      </c>
      <c r="F7" s="12" t="str">
        <f aca="false">IFERROR(D7/E7,"-")</f>
        <v>-</v>
      </c>
      <c r="G7" s="9" t="s">
        <v>21</v>
      </c>
      <c r="H7" s="9" t="s">
        <v>22</v>
      </c>
      <c r="I7" s="9" t="s">
        <v>23</v>
      </c>
      <c r="J7" s="9" t="s">
        <v>24</v>
      </c>
      <c r="K7" s="9"/>
    </row>
    <row r="8" customFormat="false" ht="48" hidden="false" customHeight="true" outlineLevel="0" collapsed="false">
      <c r="A8" s="9" t="s">
        <v>25</v>
      </c>
      <c r="B8" s="9" t="s">
        <v>8</v>
      </c>
      <c r="C8" s="10" t="n">
        <v>0</v>
      </c>
      <c r="D8" s="10" t="n">
        <v>0</v>
      </c>
      <c r="E8" s="11" t="n">
        <v>0</v>
      </c>
      <c r="F8" s="12" t="str">
        <f aca="false">IFERROR(D8/E8,"-")</f>
        <v>-</v>
      </c>
      <c r="G8" s="9" t="s">
        <v>26</v>
      </c>
      <c r="H8" s="9" t="s">
        <v>27</v>
      </c>
      <c r="I8" s="9" t="s">
        <v>28</v>
      </c>
      <c r="J8" s="9" t="s">
        <v>24</v>
      </c>
      <c r="K8" s="9" t="s">
        <v>29</v>
      </c>
    </row>
    <row r="9" customFormat="false" ht="48" hidden="false" customHeight="true" outlineLevel="0" collapsed="false">
      <c r="A9" s="9" t="s">
        <v>30</v>
      </c>
      <c r="B9" s="9" t="s">
        <v>8</v>
      </c>
      <c r="C9" s="10" t="n">
        <v>3000</v>
      </c>
      <c r="D9" s="10" t="n">
        <v>0</v>
      </c>
      <c r="E9" s="11" t="n">
        <v>0</v>
      </c>
      <c r="F9" s="12" t="str">
        <f aca="false">IFERROR(D9/E9,"-")</f>
        <v>-</v>
      </c>
      <c r="G9" s="9" t="s">
        <v>31</v>
      </c>
      <c r="H9" s="9" t="s">
        <v>32</v>
      </c>
      <c r="I9" s="9" t="s">
        <v>33</v>
      </c>
      <c r="J9" s="9" t="s">
        <v>34</v>
      </c>
      <c r="K9" s="9" t="s">
        <v>35</v>
      </c>
    </row>
    <row r="10" customFormat="false" ht="48" hidden="false" customHeight="true" outlineLevel="0" collapsed="false">
      <c r="A10" s="9" t="s">
        <v>36</v>
      </c>
      <c r="B10" s="9" t="s">
        <v>8</v>
      </c>
      <c r="C10" s="10" t="n">
        <v>1500</v>
      </c>
      <c r="D10" s="10" t="n">
        <v>0</v>
      </c>
      <c r="E10" s="11" t="n">
        <v>0</v>
      </c>
      <c r="F10" s="12" t="str">
        <f aca="false">IFERROR(D10/E10,"-")</f>
        <v>-</v>
      </c>
      <c r="G10" s="9" t="s">
        <v>37</v>
      </c>
      <c r="H10" s="9" t="s">
        <v>38</v>
      </c>
      <c r="I10" s="9" t="s">
        <v>39</v>
      </c>
      <c r="J10" s="9" t="s">
        <v>40</v>
      </c>
      <c r="K10" s="9" t="s">
        <v>41</v>
      </c>
    </row>
    <row r="11" customFormat="false" ht="48" hidden="false" customHeight="true" outlineLevel="0" collapsed="false">
      <c r="A11" s="9" t="s">
        <v>42</v>
      </c>
      <c r="B11" s="9" t="s">
        <v>8</v>
      </c>
      <c r="C11" s="10" t="n">
        <v>800</v>
      </c>
      <c r="D11" s="10" t="n">
        <v>0</v>
      </c>
      <c r="E11" s="11" t="n">
        <v>0</v>
      </c>
      <c r="F11" s="12" t="str">
        <f aca="false">IFERROR(D11/E11,"-")</f>
        <v>-</v>
      </c>
      <c r="G11" s="9" t="s">
        <v>43</v>
      </c>
      <c r="H11" s="9" t="s">
        <v>44</v>
      </c>
      <c r="I11" s="9" t="s">
        <v>45</v>
      </c>
      <c r="J11" s="9" t="s">
        <v>46</v>
      </c>
      <c r="K11" s="9" t="s">
        <v>47</v>
      </c>
    </row>
    <row r="12" customFormat="false" ht="48" hidden="false" customHeight="true" outlineLevel="0" collapsed="false">
      <c r="A12" s="9" t="s">
        <v>48</v>
      </c>
      <c r="B12" s="9" t="s">
        <v>8</v>
      </c>
      <c r="C12" s="10" t="n">
        <v>0</v>
      </c>
      <c r="D12" s="10" t="n">
        <v>0</v>
      </c>
      <c r="E12" s="11" t="n">
        <v>0</v>
      </c>
      <c r="F12" s="12" t="str">
        <f aca="false">IFERROR(D12/E12,"-")</f>
        <v>-</v>
      </c>
      <c r="G12" s="9" t="s">
        <v>49</v>
      </c>
      <c r="H12" s="9" t="s">
        <v>50</v>
      </c>
      <c r="I12" s="9" t="s">
        <v>51</v>
      </c>
      <c r="J12" s="9" t="s">
        <v>52</v>
      </c>
      <c r="K12" s="9" t="s">
        <v>53</v>
      </c>
    </row>
    <row r="13" customFormat="false" ht="48" hidden="false" customHeight="true" outlineLevel="0" collapsed="false">
      <c r="A13" s="9" t="s">
        <v>54</v>
      </c>
      <c r="B13" s="9" t="s">
        <v>8</v>
      </c>
      <c r="C13" s="10" t="n">
        <v>0</v>
      </c>
      <c r="D13" s="10" t="n">
        <v>0</v>
      </c>
      <c r="E13" s="11" t="n">
        <v>0</v>
      </c>
      <c r="F13" s="12" t="str">
        <f aca="false">IFERROR(D13/E13,"-")</f>
        <v>-</v>
      </c>
      <c r="G13" s="9" t="s">
        <v>55</v>
      </c>
      <c r="H13" s="9" t="s">
        <v>56</v>
      </c>
      <c r="I13" s="9" t="s">
        <v>51</v>
      </c>
      <c r="J13" s="9" t="s">
        <v>57</v>
      </c>
      <c r="K13" s="9" t="s">
        <v>58</v>
      </c>
    </row>
    <row r="15" customFormat="false" ht="15" hidden="false" customHeight="false" outlineLevel="0" collapsed="false">
      <c r="A15" s="13" t="s">
        <v>59</v>
      </c>
      <c r="B15" s="13"/>
      <c r="C15" s="14" t="n">
        <f aca="false">SUM(C7:C13)</f>
        <v>5308</v>
      </c>
      <c r="D15" s="14" t="n">
        <f aca="false">SUM(D7:D13)</f>
        <v>0</v>
      </c>
      <c r="E15" s="15" t="n">
        <f aca="false">SUM(E7:E13)</f>
        <v>0</v>
      </c>
      <c r="F15" s="16" t="str">
        <f aca="false">IFERROR(D15/E15,"-")</f>
        <v>-</v>
      </c>
      <c r="G15" s="13"/>
      <c r="H15" s="13"/>
      <c r="I15" s="13"/>
      <c r="J15" s="13"/>
      <c r="K15" s="13"/>
    </row>
  </sheetData>
  <conditionalFormatting sqref="B7:B13">
    <cfRule type="expression" priority="2" aboveAverage="0" equalAverage="0" bottom="0" percent="0" rank="0" text="" dxfId="0">
      <formula>$B7="Piloting"</formula>
    </cfRule>
    <cfRule type="expression" priority="3" aboveAverage="0" equalAverage="0" bottom="0" percent="0" rank="0" text="" dxfId="1">
      <formula>$B7="Scaling"</formula>
    </cfRule>
    <cfRule type="expression" priority="4" aboveAverage="0" equalAverage="0" bottom="0" percent="0" rank="0" text="" dxfId="2">
      <formula>$B7="Killed"</formula>
    </cfRule>
    <cfRule type="expression" priority="5" aboveAverage="0" equalAverage="0" bottom="0" percent="0" rank="0" text="" dxfId="3">
      <formula>$B7="Not started"</formula>
    </cfRule>
  </conditionalFormatting>
  <dataValidations count="1">
    <dataValidation allowBlank="true" errorStyle="stop" operator="between" showDropDown="false" showErrorMessage="false" showInputMessage="false" sqref="B7:B13" type="list">
      <formula1>"Not started,Piloting,Scaling,Killed,Paused"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" min="5" style="0" width="3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10" min="9" style="0" width="16"/>
    <col collapsed="false" customWidth="true" hidden="false" outlineLevel="0" max="11" min="11" style="0" width="24"/>
    <col collapsed="false" customWidth="true" hidden="false" outlineLevel="0" max="12" min="12" style="0" width="4"/>
    <col collapsed="false" customWidth="true" hidden="false" outlineLevel="0" max="13" min="13" style="0" width="22"/>
    <col collapsed="false" customWidth="true" hidden="false" outlineLevel="0" max="14" min="14" style="0" width="14"/>
  </cols>
  <sheetData>
    <row r="1" customFormat="false" ht="22.05" hidden="false" customHeight="false" outlineLevel="0" collapsed="false">
      <c r="A1" s="17" t="s">
        <v>60</v>
      </c>
    </row>
    <row r="2" customFormat="false" ht="15" hidden="false" customHeight="false" outlineLevel="0" collapsed="false">
      <c r="A2" s="2" t="s">
        <v>61</v>
      </c>
    </row>
    <row r="4" customFormat="false" ht="36" hidden="false" customHeight="true" outlineLevel="0" collapsed="false">
      <c r="A4" s="8" t="s">
        <v>62</v>
      </c>
      <c r="B4" s="8" t="s">
        <v>63</v>
      </c>
      <c r="C4" s="8" t="s">
        <v>64</v>
      </c>
      <c r="D4" s="8" t="s">
        <v>65</v>
      </c>
      <c r="E4" s="8" t="s">
        <v>66</v>
      </c>
      <c r="F4" s="8" t="s">
        <v>67</v>
      </c>
      <c r="G4" s="8" t="s">
        <v>68</v>
      </c>
      <c r="H4" s="8" t="s">
        <v>69</v>
      </c>
      <c r="I4" s="8" t="s">
        <v>70</v>
      </c>
      <c r="J4" s="8" t="s">
        <v>71</v>
      </c>
      <c r="K4" s="8" t="s">
        <v>19</v>
      </c>
      <c r="M4" s="3" t="s">
        <v>72</v>
      </c>
    </row>
    <row r="5" customFormat="false" ht="33.75" hidden="false" customHeight="true" outlineLevel="0" collapsed="false">
      <c r="A5" s="18"/>
      <c r="B5" s="9"/>
      <c r="C5" s="19"/>
      <c r="D5" s="9"/>
      <c r="E5" s="9"/>
      <c r="F5" s="20"/>
      <c r="G5" s="19"/>
      <c r="H5" s="19"/>
      <c r="I5" s="19"/>
      <c r="J5" s="19"/>
      <c r="K5" s="9"/>
      <c r="M5" s="21" t="s">
        <v>73</v>
      </c>
      <c r="N5" s="22" t="n">
        <f aca="true">COUNTIFS(A5:A64,"&gt;="&amp;TODAY()-7,A5:A64,"&lt;="&amp;TODAY())</f>
        <v>0</v>
      </c>
    </row>
    <row r="6" customFormat="false" ht="33.75" hidden="false" customHeight="true" outlineLevel="0" collapsed="false">
      <c r="A6" s="18"/>
      <c r="B6" s="9"/>
      <c r="C6" s="19"/>
      <c r="D6" s="9"/>
      <c r="E6" s="9"/>
      <c r="F6" s="20"/>
      <c r="G6" s="19"/>
      <c r="H6" s="19"/>
      <c r="I6" s="19"/>
      <c r="J6" s="19"/>
      <c r="K6" s="9"/>
      <c r="M6" s="21" t="s">
        <v>74</v>
      </c>
      <c r="N6" s="22" t="n">
        <f aca="true">COUNTIFS(A5:A64,"&gt;="&amp;TODAY()-30,A5:A64,"&lt;="&amp;TODAY())</f>
        <v>0</v>
      </c>
    </row>
    <row r="7" customFormat="false" ht="33.75" hidden="false" customHeight="true" outlineLevel="0" collapsed="false">
      <c r="A7" s="18"/>
      <c r="B7" s="9"/>
      <c r="C7" s="19"/>
      <c r="D7" s="9"/>
      <c r="E7" s="9"/>
      <c r="F7" s="20"/>
      <c r="G7" s="19"/>
      <c r="H7" s="19"/>
      <c r="I7" s="19"/>
      <c r="J7" s="19"/>
      <c r="K7" s="9"/>
      <c r="M7" s="21" t="s">
        <v>75</v>
      </c>
      <c r="N7" s="22" t="n">
        <f aca="true">SUMIFS(G5:G64,A5:A64,"&gt;="&amp;TODAY()-30,A5:A64,"&lt;="&amp;TODAY())</f>
        <v>0</v>
      </c>
    </row>
    <row r="8" customFormat="false" ht="33.75" hidden="false" customHeight="true" outlineLevel="0" collapsed="false">
      <c r="A8" s="18"/>
      <c r="B8" s="9"/>
      <c r="C8" s="19"/>
      <c r="D8" s="9"/>
      <c r="E8" s="9"/>
      <c r="F8" s="20"/>
      <c r="G8" s="19"/>
      <c r="H8" s="19"/>
      <c r="I8" s="19"/>
      <c r="J8" s="19"/>
      <c r="K8" s="9"/>
      <c r="M8" s="21" t="s">
        <v>76</v>
      </c>
      <c r="N8" s="22" t="n">
        <f aca="true">SUMIFS(I5:I64,A5:A64,"&gt;="&amp;TODAY()-30,A5:A64,"&lt;="&amp;TODAY())</f>
        <v>0</v>
      </c>
    </row>
    <row r="9" customFormat="false" ht="33.75" hidden="false" customHeight="true" outlineLevel="0" collapsed="false">
      <c r="A9" s="18"/>
      <c r="B9" s="9"/>
      <c r="C9" s="19"/>
      <c r="D9" s="9"/>
      <c r="E9" s="9"/>
      <c r="F9" s="20"/>
      <c r="G9" s="19"/>
      <c r="H9" s="19"/>
      <c r="I9" s="19"/>
      <c r="J9" s="19"/>
      <c r="K9" s="9"/>
      <c r="M9" s="21" t="s">
        <v>77</v>
      </c>
      <c r="N9" s="22" t="n">
        <f aca="true">SUMIFS(J5:J64,A5:A64,"&gt;="&amp;TODAY()-30,A5:A64,"&lt;="&amp;TODAY())</f>
        <v>0</v>
      </c>
    </row>
    <row r="10" customFormat="false" ht="33.75" hidden="false" customHeight="true" outlineLevel="0" collapsed="false">
      <c r="A10" s="18"/>
      <c r="B10" s="9"/>
      <c r="C10" s="19"/>
      <c r="D10" s="9"/>
      <c r="E10" s="9"/>
      <c r="F10" s="20"/>
      <c r="G10" s="19"/>
      <c r="H10" s="19"/>
      <c r="I10" s="19"/>
      <c r="J10" s="19"/>
      <c r="K10" s="9"/>
    </row>
    <row r="11" customFormat="false" ht="33.75" hidden="false" customHeight="true" outlineLevel="0" collapsed="false">
      <c r="A11" s="18"/>
      <c r="B11" s="9"/>
      <c r="C11" s="19"/>
      <c r="D11" s="9"/>
      <c r="E11" s="9"/>
      <c r="F11" s="20"/>
      <c r="G11" s="19"/>
      <c r="H11" s="19"/>
      <c r="I11" s="19"/>
      <c r="J11" s="19"/>
      <c r="K11" s="9"/>
    </row>
    <row r="12" customFormat="false" ht="33.75" hidden="false" customHeight="true" outlineLevel="0" collapsed="false">
      <c r="A12" s="18"/>
      <c r="B12" s="9"/>
      <c r="C12" s="19"/>
      <c r="D12" s="9"/>
      <c r="E12" s="9"/>
      <c r="F12" s="20"/>
      <c r="G12" s="19"/>
      <c r="H12" s="19"/>
      <c r="I12" s="19"/>
      <c r="J12" s="19"/>
      <c r="K12" s="9"/>
    </row>
    <row r="13" customFormat="false" ht="33.75" hidden="false" customHeight="true" outlineLevel="0" collapsed="false">
      <c r="A13" s="18"/>
      <c r="B13" s="9"/>
      <c r="C13" s="19"/>
      <c r="D13" s="9"/>
      <c r="E13" s="9"/>
      <c r="F13" s="20"/>
      <c r="G13" s="19"/>
      <c r="H13" s="19"/>
      <c r="I13" s="19"/>
      <c r="J13" s="19"/>
      <c r="K13" s="9"/>
    </row>
    <row r="14" customFormat="false" ht="33.75" hidden="false" customHeight="true" outlineLevel="0" collapsed="false">
      <c r="A14" s="18"/>
      <c r="B14" s="9"/>
      <c r="C14" s="19"/>
      <c r="D14" s="9"/>
      <c r="E14" s="9"/>
      <c r="F14" s="20"/>
      <c r="G14" s="19"/>
      <c r="H14" s="19"/>
      <c r="I14" s="19"/>
      <c r="J14" s="19"/>
      <c r="K14" s="9"/>
    </row>
    <row r="15" customFormat="false" ht="33.75" hidden="false" customHeight="true" outlineLevel="0" collapsed="false">
      <c r="A15" s="18"/>
      <c r="B15" s="9"/>
      <c r="C15" s="19"/>
      <c r="D15" s="9"/>
      <c r="E15" s="9"/>
      <c r="F15" s="20"/>
      <c r="G15" s="19"/>
      <c r="H15" s="19"/>
      <c r="I15" s="19"/>
      <c r="J15" s="19"/>
      <c r="K15" s="9"/>
    </row>
    <row r="16" customFormat="false" ht="33.75" hidden="false" customHeight="true" outlineLevel="0" collapsed="false">
      <c r="A16" s="18"/>
      <c r="B16" s="9"/>
      <c r="C16" s="19"/>
      <c r="D16" s="9"/>
      <c r="E16" s="9"/>
      <c r="F16" s="20"/>
      <c r="G16" s="19"/>
      <c r="H16" s="19"/>
      <c r="I16" s="19"/>
      <c r="J16" s="19"/>
      <c r="K16" s="9"/>
    </row>
    <row r="17" customFormat="false" ht="33.75" hidden="false" customHeight="true" outlineLevel="0" collapsed="false">
      <c r="A17" s="18"/>
      <c r="B17" s="9"/>
      <c r="C17" s="19"/>
      <c r="D17" s="9"/>
      <c r="E17" s="9"/>
      <c r="F17" s="20"/>
      <c r="G17" s="19"/>
      <c r="H17" s="19"/>
      <c r="I17" s="19"/>
      <c r="J17" s="19"/>
      <c r="K17" s="9"/>
    </row>
    <row r="18" customFormat="false" ht="33.75" hidden="false" customHeight="true" outlineLevel="0" collapsed="false">
      <c r="A18" s="18"/>
      <c r="B18" s="9"/>
      <c r="C18" s="19"/>
      <c r="D18" s="9"/>
      <c r="E18" s="9"/>
      <c r="F18" s="20"/>
      <c r="G18" s="19"/>
      <c r="H18" s="19"/>
      <c r="I18" s="19"/>
      <c r="J18" s="19"/>
      <c r="K18" s="9"/>
    </row>
    <row r="19" customFormat="false" ht="33.75" hidden="false" customHeight="true" outlineLevel="0" collapsed="false">
      <c r="A19" s="18"/>
      <c r="B19" s="9"/>
      <c r="C19" s="19"/>
      <c r="D19" s="9"/>
      <c r="E19" s="9"/>
      <c r="F19" s="20"/>
      <c r="G19" s="19"/>
      <c r="H19" s="19"/>
      <c r="I19" s="19"/>
      <c r="J19" s="19"/>
      <c r="K19" s="9"/>
    </row>
    <row r="20" customFormat="false" ht="33.75" hidden="false" customHeight="true" outlineLevel="0" collapsed="false">
      <c r="A20" s="18"/>
      <c r="B20" s="9"/>
      <c r="C20" s="19"/>
      <c r="D20" s="9"/>
      <c r="E20" s="9"/>
      <c r="F20" s="20"/>
      <c r="G20" s="19"/>
      <c r="H20" s="19"/>
      <c r="I20" s="19"/>
      <c r="J20" s="19"/>
      <c r="K20" s="9"/>
    </row>
    <row r="21" customFormat="false" ht="33.75" hidden="false" customHeight="true" outlineLevel="0" collapsed="false">
      <c r="A21" s="18"/>
      <c r="B21" s="9"/>
      <c r="C21" s="19"/>
      <c r="D21" s="9"/>
      <c r="E21" s="9"/>
      <c r="F21" s="20"/>
      <c r="G21" s="19"/>
      <c r="H21" s="19"/>
      <c r="I21" s="19"/>
      <c r="J21" s="19"/>
      <c r="K21" s="9"/>
    </row>
    <row r="22" customFormat="false" ht="33.75" hidden="false" customHeight="true" outlineLevel="0" collapsed="false">
      <c r="A22" s="18"/>
      <c r="B22" s="9"/>
      <c r="C22" s="19"/>
      <c r="D22" s="9"/>
      <c r="E22" s="9"/>
      <c r="F22" s="20"/>
      <c r="G22" s="19"/>
      <c r="H22" s="19"/>
      <c r="I22" s="19"/>
      <c r="J22" s="19"/>
      <c r="K22" s="9"/>
    </row>
    <row r="23" customFormat="false" ht="33.75" hidden="false" customHeight="true" outlineLevel="0" collapsed="false">
      <c r="A23" s="18"/>
      <c r="B23" s="9"/>
      <c r="C23" s="19"/>
      <c r="D23" s="9"/>
      <c r="E23" s="9"/>
      <c r="F23" s="20"/>
      <c r="G23" s="19"/>
      <c r="H23" s="19"/>
      <c r="I23" s="19"/>
      <c r="J23" s="19"/>
      <c r="K23" s="9"/>
    </row>
    <row r="24" customFormat="false" ht="33.75" hidden="false" customHeight="true" outlineLevel="0" collapsed="false">
      <c r="A24" s="18"/>
      <c r="B24" s="9"/>
      <c r="C24" s="19"/>
      <c r="D24" s="9"/>
      <c r="E24" s="9"/>
      <c r="F24" s="20"/>
      <c r="G24" s="19"/>
      <c r="H24" s="19"/>
      <c r="I24" s="19"/>
      <c r="J24" s="19"/>
      <c r="K24" s="9"/>
    </row>
    <row r="25" customFormat="false" ht="33.75" hidden="false" customHeight="true" outlineLevel="0" collapsed="false">
      <c r="A25" s="18"/>
      <c r="B25" s="9"/>
      <c r="C25" s="19"/>
      <c r="D25" s="9"/>
      <c r="E25" s="9"/>
      <c r="F25" s="20"/>
      <c r="G25" s="19"/>
      <c r="H25" s="19"/>
      <c r="I25" s="19"/>
      <c r="J25" s="19"/>
      <c r="K25" s="9"/>
    </row>
    <row r="26" customFormat="false" ht="33.75" hidden="false" customHeight="true" outlineLevel="0" collapsed="false">
      <c r="A26" s="18"/>
      <c r="B26" s="9"/>
      <c r="C26" s="19"/>
      <c r="D26" s="9"/>
      <c r="E26" s="9"/>
      <c r="F26" s="20"/>
      <c r="G26" s="19"/>
      <c r="H26" s="19"/>
      <c r="I26" s="19"/>
      <c r="J26" s="19"/>
      <c r="K26" s="9"/>
    </row>
    <row r="27" customFormat="false" ht="33.75" hidden="false" customHeight="true" outlineLevel="0" collapsed="false">
      <c r="A27" s="18"/>
      <c r="B27" s="9"/>
      <c r="C27" s="19"/>
      <c r="D27" s="9"/>
      <c r="E27" s="9"/>
      <c r="F27" s="20"/>
      <c r="G27" s="19"/>
      <c r="H27" s="19"/>
      <c r="I27" s="19"/>
      <c r="J27" s="19"/>
      <c r="K27" s="9"/>
    </row>
    <row r="28" customFormat="false" ht="33.75" hidden="false" customHeight="true" outlineLevel="0" collapsed="false">
      <c r="A28" s="18"/>
      <c r="B28" s="9"/>
      <c r="C28" s="19"/>
      <c r="D28" s="9"/>
      <c r="E28" s="9"/>
      <c r="F28" s="20"/>
      <c r="G28" s="19"/>
      <c r="H28" s="19"/>
      <c r="I28" s="19"/>
      <c r="J28" s="19"/>
      <c r="K28" s="9"/>
    </row>
    <row r="29" customFormat="false" ht="33.75" hidden="false" customHeight="true" outlineLevel="0" collapsed="false">
      <c r="A29" s="18"/>
      <c r="B29" s="9"/>
      <c r="C29" s="19"/>
      <c r="D29" s="9"/>
      <c r="E29" s="9"/>
      <c r="F29" s="20"/>
      <c r="G29" s="19"/>
      <c r="H29" s="19"/>
      <c r="I29" s="19"/>
      <c r="J29" s="19"/>
      <c r="K29" s="9"/>
    </row>
    <row r="30" customFormat="false" ht="33.75" hidden="false" customHeight="true" outlineLevel="0" collapsed="false">
      <c r="A30" s="18"/>
      <c r="B30" s="9"/>
      <c r="C30" s="19"/>
      <c r="D30" s="9"/>
      <c r="E30" s="9"/>
      <c r="F30" s="20"/>
      <c r="G30" s="19"/>
      <c r="H30" s="19"/>
      <c r="I30" s="19"/>
      <c r="J30" s="19"/>
      <c r="K30" s="9"/>
    </row>
    <row r="31" customFormat="false" ht="33.75" hidden="false" customHeight="true" outlineLevel="0" collapsed="false">
      <c r="A31" s="18"/>
      <c r="B31" s="9"/>
      <c r="C31" s="19"/>
      <c r="D31" s="9"/>
      <c r="E31" s="9"/>
      <c r="F31" s="20"/>
      <c r="G31" s="19"/>
      <c r="H31" s="19"/>
      <c r="I31" s="19"/>
      <c r="J31" s="19"/>
      <c r="K31" s="9"/>
    </row>
    <row r="32" customFormat="false" ht="33.75" hidden="false" customHeight="true" outlineLevel="0" collapsed="false">
      <c r="A32" s="18"/>
      <c r="B32" s="9"/>
      <c r="C32" s="19"/>
      <c r="D32" s="9"/>
      <c r="E32" s="9"/>
      <c r="F32" s="20"/>
      <c r="G32" s="19"/>
      <c r="H32" s="19"/>
      <c r="I32" s="19"/>
      <c r="J32" s="19"/>
      <c r="K32" s="9"/>
    </row>
    <row r="33" customFormat="false" ht="33.75" hidden="false" customHeight="true" outlineLevel="0" collapsed="false">
      <c r="A33" s="18"/>
      <c r="B33" s="9"/>
      <c r="C33" s="19"/>
      <c r="D33" s="9"/>
      <c r="E33" s="9"/>
      <c r="F33" s="20"/>
      <c r="G33" s="19"/>
      <c r="H33" s="19"/>
      <c r="I33" s="19"/>
      <c r="J33" s="19"/>
      <c r="K33" s="9"/>
    </row>
    <row r="34" customFormat="false" ht="33.75" hidden="false" customHeight="true" outlineLevel="0" collapsed="false">
      <c r="A34" s="18"/>
      <c r="B34" s="9"/>
      <c r="C34" s="19"/>
      <c r="D34" s="9"/>
      <c r="E34" s="9"/>
      <c r="F34" s="20"/>
      <c r="G34" s="19"/>
      <c r="H34" s="19"/>
      <c r="I34" s="19"/>
      <c r="J34" s="19"/>
      <c r="K34" s="9"/>
    </row>
    <row r="35" customFormat="false" ht="33.75" hidden="false" customHeight="true" outlineLevel="0" collapsed="false">
      <c r="A35" s="18"/>
      <c r="B35" s="9"/>
      <c r="C35" s="19"/>
      <c r="D35" s="9"/>
      <c r="E35" s="9"/>
      <c r="F35" s="20"/>
      <c r="G35" s="19"/>
      <c r="H35" s="19"/>
      <c r="I35" s="19"/>
      <c r="J35" s="19"/>
      <c r="K35" s="9"/>
    </row>
    <row r="36" customFormat="false" ht="33.75" hidden="false" customHeight="true" outlineLevel="0" collapsed="false">
      <c r="A36" s="18"/>
      <c r="B36" s="9"/>
      <c r="C36" s="19"/>
      <c r="D36" s="9"/>
      <c r="E36" s="9"/>
      <c r="F36" s="20"/>
      <c r="G36" s="19"/>
      <c r="H36" s="19"/>
      <c r="I36" s="19"/>
      <c r="J36" s="19"/>
      <c r="K36" s="9"/>
    </row>
    <row r="37" customFormat="false" ht="33.75" hidden="false" customHeight="true" outlineLevel="0" collapsed="false">
      <c r="A37" s="18"/>
      <c r="B37" s="9"/>
      <c r="C37" s="19"/>
      <c r="D37" s="9"/>
      <c r="E37" s="9"/>
      <c r="F37" s="20"/>
      <c r="G37" s="19"/>
      <c r="H37" s="19"/>
      <c r="I37" s="19"/>
      <c r="J37" s="19"/>
      <c r="K37" s="9"/>
    </row>
    <row r="38" customFormat="false" ht="33.75" hidden="false" customHeight="true" outlineLevel="0" collapsed="false">
      <c r="A38" s="18"/>
      <c r="B38" s="9"/>
      <c r="C38" s="19"/>
      <c r="D38" s="9"/>
      <c r="E38" s="9"/>
      <c r="F38" s="20"/>
      <c r="G38" s="19"/>
      <c r="H38" s="19"/>
      <c r="I38" s="19"/>
      <c r="J38" s="19"/>
      <c r="K38" s="9"/>
    </row>
    <row r="39" customFormat="false" ht="33.75" hidden="false" customHeight="true" outlineLevel="0" collapsed="false">
      <c r="A39" s="18"/>
      <c r="B39" s="9"/>
      <c r="C39" s="19"/>
      <c r="D39" s="9"/>
      <c r="E39" s="9"/>
      <c r="F39" s="20"/>
      <c r="G39" s="19"/>
      <c r="H39" s="19"/>
      <c r="I39" s="19"/>
      <c r="J39" s="19"/>
      <c r="K39" s="9"/>
    </row>
    <row r="40" customFormat="false" ht="33.75" hidden="false" customHeight="true" outlineLevel="0" collapsed="false">
      <c r="A40" s="18"/>
      <c r="B40" s="9"/>
      <c r="C40" s="19"/>
      <c r="D40" s="9"/>
      <c r="E40" s="9"/>
      <c r="F40" s="20"/>
      <c r="G40" s="19"/>
      <c r="H40" s="19"/>
      <c r="I40" s="19"/>
      <c r="J40" s="19"/>
      <c r="K40" s="9"/>
    </row>
    <row r="41" customFormat="false" ht="33.75" hidden="false" customHeight="true" outlineLevel="0" collapsed="false">
      <c r="A41" s="18"/>
      <c r="B41" s="9"/>
      <c r="C41" s="19"/>
      <c r="D41" s="9"/>
      <c r="E41" s="9"/>
      <c r="F41" s="20"/>
      <c r="G41" s="19"/>
      <c r="H41" s="19"/>
      <c r="I41" s="19"/>
      <c r="J41" s="19"/>
      <c r="K41" s="9"/>
    </row>
    <row r="42" customFormat="false" ht="33.75" hidden="false" customHeight="true" outlineLevel="0" collapsed="false">
      <c r="A42" s="18"/>
      <c r="B42" s="9"/>
      <c r="C42" s="19"/>
      <c r="D42" s="9"/>
      <c r="E42" s="9"/>
      <c r="F42" s="20"/>
      <c r="G42" s="19"/>
      <c r="H42" s="19"/>
      <c r="I42" s="19"/>
      <c r="J42" s="19"/>
      <c r="K42" s="9"/>
    </row>
    <row r="43" customFormat="false" ht="33.75" hidden="false" customHeight="true" outlineLevel="0" collapsed="false">
      <c r="A43" s="18"/>
      <c r="B43" s="9"/>
      <c r="C43" s="19"/>
      <c r="D43" s="9"/>
      <c r="E43" s="9"/>
      <c r="F43" s="20"/>
      <c r="G43" s="19"/>
      <c r="H43" s="19"/>
      <c r="I43" s="19"/>
      <c r="J43" s="19"/>
      <c r="K43" s="9"/>
    </row>
    <row r="44" customFormat="false" ht="33.75" hidden="false" customHeight="true" outlineLevel="0" collapsed="false">
      <c r="A44" s="18"/>
      <c r="B44" s="9"/>
      <c r="C44" s="19"/>
      <c r="D44" s="9"/>
      <c r="E44" s="9"/>
      <c r="F44" s="20"/>
      <c r="G44" s="19"/>
      <c r="H44" s="19"/>
      <c r="I44" s="19"/>
      <c r="J44" s="19"/>
      <c r="K44" s="9"/>
    </row>
    <row r="45" customFormat="false" ht="33.75" hidden="false" customHeight="true" outlineLevel="0" collapsed="false">
      <c r="A45" s="18"/>
      <c r="B45" s="9"/>
      <c r="C45" s="19"/>
      <c r="D45" s="9"/>
      <c r="E45" s="9"/>
      <c r="F45" s="20"/>
      <c r="G45" s="19"/>
      <c r="H45" s="19"/>
      <c r="I45" s="19"/>
      <c r="J45" s="19"/>
      <c r="K45" s="9"/>
    </row>
    <row r="46" customFormat="false" ht="33.75" hidden="false" customHeight="true" outlineLevel="0" collapsed="false">
      <c r="A46" s="18"/>
      <c r="B46" s="9"/>
      <c r="C46" s="19"/>
      <c r="D46" s="9"/>
      <c r="E46" s="9"/>
      <c r="F46" s="20"/>
      <c r="G46" s="19"/>
      <c r="H46" s="19"/>
      <c r="I46" s="19"/>
      <c r="J46" s="19"/>
      <c r="K46" s="9"/>
    </row>
    <row r="47" customFormat="false" ht="33.75" hidden="false" customHeight="true" outlineLevel="0" collapsed="false">
      <c r="A47" s="18"/>
      <c r="B47" s="9"/>
      <c r="C47" s="19"/>
      <c r="D47" s="9"/>
      <c r="E47" s="9"/>
      <c r="F47" s="20"/>
      <c r="G47" s="19"/>
      <c r="H47" s="19"/>
      <c r="I47" s="19"/>
      <c r="J47" s="19"/>
      <c r="K47" s="9"/>
    </row>
    <row r="48" customFormat="false" ht="33.75" hidden="false" customHeight="true" outlineLevel="0" collapsed="false">
      <c r="A48" s="18"/>
      <c r="B48" s="9"/>
      <c r="C48" s="19"/>
      <c r="D48" s="9"/>
      <c r="E48" s="9"/>
      <c r="F48" s="20"/>
      <c r="G48" s="19"/>
      <c r="H48" s="19"/>
      <c r="I48" s="19"/>
      <c r="J48" s="19"/>
      <c r="K48" s="9"/>
    </row>
    <row r="49" customFormat="false" ht="33.75" hidden="false" customHeight="true" outlineLevel="0" collapsed="false">
      <c r="A49" s="18"/>
      <c r="B49" s="9"/>
      <c r="C49" s="19"/>
      <c r="D49" s="9"/>
      <c r="E49" s="9"/>
      <c r="F49" s="20"/>
      <c r="G49" s="19"/>
      <c r="H49" s="19"/>
      <c r="I49" s="19"/>
      <c r="J49" s="19"/>
      <c r="K49" s="9"/>
    </row>
    <row r="50" customFormat="false" ht="33.75" hidden="false" customHeight="true" outlineLevel="0" collapsed="false">
      <c r="A50" s="18"/>
      <c r="B50" s="9"/>
      <c r="C50" s="19"/>
      <c r="D50" s="9"/>
      <c r="E50" s="9"/>
      <c r="F50" s="20"/>
      <c r="G50" s="19"/>
      <c r="H50" s="19"/>
      <c r="I50" s="19"/>
      <c r="J50" s="19"/>
      <c r="K50" s="9"/>
    </row>
    <row r="51" customFormat="false" ht="33.75" hidden="false" customHeight="true" outlineLevel="0" collapsed="false">
      <c r="A51" s="18"/>
      <c r="B51" s="9"/>
      <c r="C51" s="19"/>
      <c r="D51" s="9"/>
      <c r="E51" s="9"/>
      <c r="F51" s="20"/>
      <c r="G51" s="19"/>
      <c r="H51" s="19"/>
      <c r="I51" s="19"/>
      <c r="J51" s="19"/>
      <c r="K51" s="9"/>
    </row>
    <row r="52" customFormat="false" ht="33.75" hidden="false" customHeight="true" outlineLevel="0" collapsed="false">
      <c r="A52" s="18"/>
      <c r="B52" s="9"/>
      <c r="C52" s="19"/>
      <c r="D52" s="9"/>
      <c r="E52" s="9"/>
      <c r="F52" s="20"/>
      <c r="G52" s="19"/>
      <c r="H52" s="19"/>
      <c r="I52" s="19"/>
      <c r="J52" s="19"/>
      <c r="K52" s="9"/>
    </row>
    <row r="53" customFormat="false" ht="33.75" hidden="false" customHeight="true" outlineLevel="0" collapsed="false">
      <c r="A53" s="18"/>
      <c r="B53" s="9"/>
      <c r="C53" s="19"/>
      <c r="D53" s="9"/>
      <c r="E53" s="9"/>
      <c r="F53" s="20"/>
      <c r="G53" s="19"/>
      <c r="H53" s="19"/>
      <c r="I53" s="19"/>
      <c r="J53" s="19"/>
      <c r="K53" s="9"/>
    </row>
    <row r="54" customFormat="false" ht="33.75" hidden="false" customHeight="true" outlineLevel="0" collapsed="false">
      <c r="A54" s="18"/>
      <c r="B54" s="9"/>
      <c r="C54" s="19"/>
      <c r="D54" s="9"/>
      <c r="E54" s="9"/>
      <c r="F54" s="20"/>
      <c r="G54" s="19"/>
      <c r="H54" s="19"/>
      <c r="I54" s="19"/>
      <c r="J54" s="19"/>
      <c r="K54" s="9"/>
    </row>
    <row r="55" customFormat="false" ht="33.75" hidden="false" customHeight="true" outlineLevel="0" collapsed="false">
      <c r="A55" s="18"/>
      <c r="B55" s="9"/>
      <c r="C55" s="19"/>
      <c r="D55" s="9"/>
      <c r="E55" s="9"/>
      <c r="F55" s="20"/>
      <c r="G55" s="19"/>
      <c r="H55" s="19"/>
      <c r="I55" s="19"/>
      <c r="J55" s="19"/>
      <c r="K55" s="9"/>
    </row>
    <row r="56" customFormat="false" ht="33.75" hidden="false" customHeight="true" outlineLevel="0" collapsed="false">
      <c r="A56" s="18"/>
      <c r="B56" s="9"/>
      <c r="C56" s="19"/>
      <c r="D56" s="9"/>
      <c r="E56" s="9"/>
      <c r="F56" s="20"/>
      <c r="G56" s="19"/>
      <c r="H56" s="19"/>
      <c r="I56" s="19"/>
      <c r="J56" s="19"/>
      <c r="K56" s="9"/>
    </row>
    <row r="57" customFormat="false" ht="33.75" hidden="false" customHeight="true" outlineLevel="0" collapsed="false">
      <c r="A57" s="18"/>
      <c r="B57" s="9"/>
      <c r="C57" s="19"/>
      <c r="D57" s="9"/>
      <c r="E57" s="9"/>
      <c r="F57" s="20"/>
      <c r="G57" s="19"/>
      <c r="H57" s="19"/>
      <c r="I57" s="19"/>
      <c r="J57" s="19"/>
      <c r="K57" s="9"/>
    </row>
    <row r="58" customFormat="false" ht="33.75" hidden="false" customHeight="true" outlineLevel="0" collapsed="false">
      <c r="A58" s="18"/>
      <c r="B58" s="9"/>
      <c r="C58" s="19"/>
      <c r="D58" s="9"/>
      <c r="E58" s="9"/>
      <c r="F58" s="20"/>
      <c r="G58" s="19"/>
      <c r="H58" s="19"/>
      <c r="I58" s="19"/>
      <c r="J58" s="19"/>
      <c r="K58" s="9"/>
    </row>
    <row r="59" customFormat="false" ht="33.75" hidden="false" customHeight="true" outlineLevel="0" collapsed="false">
      <c r="A59" s="18"/>
      <c r="B59" s="9"/>
      <c r="C59" s="19"/>
      <c r="D59" s="9"/>
      <c r="E59" s="9"/>
      <c r="F59" s="20"/>
      <c r="G59" s="19"/>
      <c r="H59" s="19"/>
      <c r="I59" s="19"/>
      <c r="J59" s="19"/>
      <c r="K59" s="9"/>
    </row>
    <row r="60" customFormat="false" ht="33.75" hidden="false" customHeight="true" outlineLevel="0" collapsed="false">
      <c r="A60" s="18"/>
      <c r="B60" s="9"/>
      <c r="C60" s="19"/>
      <c r="D60" s="9"/>
      <c r="E60" s="9"/>
      <c r="F60" s="20"/>
      <c r="G60" s="19"/>
      <c r="H60" s="19"/>
      <c r="I60" s="19"/>
      <c r="J60" s="19"/>
      <c r="K60" s="9"/>
    </row>
    <row r="61" customFormat="false" ht="33.75" hidden="false" customHeight="true" outlineLevel="0" collapsed="false">
      <c r="A61" s="18"/>
      <c r="B61" s="9"/>
      <c r="C61" s="19"/>
      <c r="D61" s="9"/>
      <c r="E61" s="9"/>
      <c r="F61" s="20"/>
      <c r="G61" s="19"/>
      <c r="H61" s="19"/>
      <c r="I61" s="19"/>
      <c r="J61" s="19"/>
      <c r="K61" s="9"/>
    </row>
    <row r="62" customFormat="false" ht="33.75" hidden="false" customHeight="true" outlineLevel="0" collapsed="false">
      <c r="A62" s="18"/>
      <c r="B62" s="9"/>
      <c r="C62" s="19"/>
      <c r="D62" s="9"/>
      <c r="E62" s="9"/>
      <c r="F62" s="20"/>
      <c r="G62" s="19"/>
      <c r="H62" s="19"/>
      <c r="I62" s="19"/>
      <c r="J62" s="19"/>
      <c r="K62" s="9"/>
    </row>
    <row r="63" customFormat="false" ht="33.75" hidden="false" customHeight="true" outlineLevel="0" collapsed="false">
      <c r="A63" s="18"/>
      <c r="B63" s="9"/>
      <c r="C63" s="19"/>
      <c r="D63" s="9"/>
      <c r="E63" s="9"/>
      <c r="F63" s="20"/>
      <c r="G63" s="19"/>
      <c r="H63" s="19"/>
      <c r="I63" s="19"/>
      <c r="J63" s="19"/>
      <c r="K63" s="9"/>
    </row>
    <row r="64" customFormat="false" ht="33.75" hidden="false" customHeight="true" outlineLevel="0" collapsed="false">
      <c r="A64" s="18"/>
      <c r="B64" s="9"/>
      <c r="C64" s="19"/>
      <c r="D64" s="9"/>
      <c r="E64" s="9"/>
      <c r="F64" s="20"/>
      <c r="G64" s="19"/>
      <c r="H64" s="19"/>
      <c r="I64" s="19"/>
      <c r="J64" s="19"/>
      <c r="K64" s="9"/>
    </row>
  </sheetData>
  <dataValidations count="1">
    <dataValidation allowBlank="true" errorStyle="stop" operator="between" showDropDown="false" showErrorMessage="false" showInputMessage="false" sqref="F5:F64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26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28"/>
    <col collapsed="false" customWidth="true" hidden="false" outlineLevel="0" max="11" min="11" style="0" width="11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18"/>
    <col collapsed="false" customWidth="true" hidden="false" outlineLevel="0" max="15" min="15" style="0" width="14"/>
    <col collapsed="false" customWidth="true" hidden="false" outlineLevel="0" max="16" min="16" style="0" width="12"/>
    <col collapsed="false" customWidth="true" hidden="false" outlineLevel="0" max="17" min="17" style="0" width="24"/>
  </cols>
  <sheetData>
    <row r="1" customFormat="false" ht="22.05" hidden="false" customHeight="false" outlineLevel="0" collapsed="false">
      <c r="A1" s="17" t="s">
        <v>78</v>
      </c>
    </row>
    <row r="2" customFormat="false" ht="15" hidden="false" customHeight="false" outlineLevel="0" collapsed="false">
      <c r="A2" s="2" t="s">
        <v>79</v>
      </c>
    </row>
    <row r="4" customFormat="false" ht="37.5" hidden="false" customHeight="true" outlineLevel="0" collapsed="false">
      <c r="A4" s="8" t="s">
        <v>80</v>
      </c>
      <c r="B4" s="8" t="s">
        <v>81</v>
      </c>
      <c r="C4" s="8" t="s">
        <v>82</v>
      </c>
      <c r="D4" s="8" t="s">
        <v>83</v>
      </c>
      <c r="E4" s="8" t="s">
        <v>84</v>
      </c>
      <c r="F4" s="8" t="s">
        <v>85</v>
      </c>
      <c r="G4" s="8" t="s">
        <v>10</v>
      </c>
      <c r="H4" s="8" t="s">
        <v>86</v>
      </c>
      <c r="I4" s="8" t="s">
        <v>87</v>
      </c>
      <c r="J4" s="8" t="s">
        <v>88</v>
      </c>
      <c r="K4" s="8" t="s">
        <v>89</v>
      </c>
      <c r="L4" s="8" t="s">
        <v>13</v>
      </c>
      <c r="M4" s="8" t="s">
        <v>90</v>
      </c>
      <c r="N4" s="8" t="s">
        <v>91</v>
      </c>
      <c r="O4" s="8" t="s">
        <v>92</v>
      </c>
      <c r="P4" s="8" t="s">
        <v>93</v>
      </c>
      <c r="Q4" s="8" t="s">
        <v>19</v>
      </c>
    </row>
    <row r="5" customFormat="false" ht="33.75" hidden="false" customHeight="true" outlineLevel="0" collapsed="false">
      <c r="A5" s="9" t="s">
        <v>94</v>
      </c>
      <c r="B5" s="9" t="s">
        <v>95</v>
      </c>
      <c r="C5" s="9" t="s">
        <v>96</v>
      </c>
      <c r="D5" s="19" t="n">
        <v>120000</v>
      </c>
      <c r="E5" s="23" t="n">
        <v>0.4</v>
      </c>
      <c r="F5" s="9"/>
      <c r="G5" s="9" t="s">
        <v>97</v>
      </c>
      <c r="H5" s="10"/>
      <c r="I5" s="18"/>
      <c r="J5" s="9" t="s">
        <v>98</v>
      </c>
      <c r="K5" s="10"/>
      <c r="L5" s="19"/>
      <c r="M5" s="12" t="str">
        <f aca="false">IFERROR(K5/L5,"-")</f>
        <v>-</v>
      </c>
      <c r="N5" s="19"/>
      <c r="O5" s="24" t="str">
        <f aca="false">IFERROR(N5/L5,"-")</f>
        <v>-</v>
      </c>
      <c r="P5" s="20"/>
      <c r="Q5" s="9"/>
    </row>
    <row r="6" customFormat="false" ht="33.75" hidden="false" customHeight="true" outlineLevel="0" collapsed="false">
      <c r="A6" s="9" t="s">
        <v>99</v>
      </c>
      <c r="B6" s="9" t="s">
        <v>100</v>
      </c>
      <c r="C6" s="9" t="s">
        <v>101</v>
      </c>
      <c r="D6" s="19" t="n">
        <v>60000</v>
      </c>
      <c r="E6" s="23" t="n">
        <v>0.45</v>
      </c>
      <c r="F6" s="9"/>
      <c r="G6" s="9" t="s">
        <v>97</v>
      </c>
      <c r="H6" s="10"/>
      <c r="I6" s="18"/>
      <c r="J6" s="9" t="s">
        <v>102</v>
      </c>
      <c r="K6" s="10"/>
      <c r="L6" s="19"/>
      <c r="M6" s="12" t="str">
        <f aca="false">IFERROR(K6/L6,"-")</f>
        <v>-</v>
      </c>
      <c r="N6" s="19"/>
      <c r="O6" s="24" t="str">
        <f aca="false">IFERROR(N6/L6,"-")</f>
        <v>-</v>
      </c>
      <c r="P6" s="20"/>
      <c r="Q6" s="9"/>
    </row>
    <row r="7" customFormat="false" ht="33.75" hidden="false" customHeight="true" outlineLevel="0" collapsed="false">
      <c r="A7" s="9" t="s">
        <v>103</v>
      </c>
      <c r="B7" s="9" t="s">
        <v>104</v>
      </c>
      <c r="C7" s="9" t="s">
        <v>105</v>
      </c>
      <c r="D7" s="19" t="n">
        <v>80000</v>
      </c>
      <c r="E7" s="23" t="n">
        <v>0.35</v>
      </c>
      <c r="F7" s="9"/>
      <c r="G7" s="9" t="s">
        <v>97</v>
      </c>
      <c r="H7" s="10"/>
      <c r="I7" s="18"/>
      <c r="J7" s="9" t="s">
        <v>106</v>
      </c>
      <c r="K7" s="10"/>
      <c r="L7" s="19"/>
      <c r="M7" s="12" t="str">
        <f aca="false">IFERROR(K7/L7,"-")</f>
        <v>-</v>
      </c>
      <c r="N7" s="19"/>
      <c r="O7" s="24" t="str">
        <f aca="false">IFERROR(N7/L7,"-")</f>
        <v>-</v>
      </c>
      <c r="P7" s="20"/>
      <c r="Q7" s="9"/>
    </row>
    <row r="8" customFormat="false" ht="33.75" hidden="false" customHeight="true" outlineLevel="0" collapsed="false">
      <c r="A8" s="9" t="s">
        <v>107</v>
      </c>
      <c r="B8" s="9" t="s">
        <v>108</v>
      </c>
      <c r="C8" s="9" t="s">
        <v>109</v>
      </c>
      <c r="D8" s="19" t="n">
        <v>700000</v>
      </c>
      <c r="E8" s="23" t="n">
        <v>0.45</v>
      </c>
      <c r="F8" s="9"/>
      <c r="G8" s="9" t="s">
        <v>97</v>
      </c>
      <c r="H8" s="10"/>
      <c r="I8" s="18"/>
      <c r="J8" s="9" t="s">
        <v>110</v>
      </c>
      <c r="K8" s="10"/>
      <c r="L8" s="19"/>
      <c r="M8" s="12" t="str">
        <f aca="false">IFERROR(K8/L8,"-")</f>
        <v>-</v>
      </c>
      <c r="N8" s="19"/>
      <c r="O8" s="24" t="str">
        <f aca="false">IFERROR(N8/L8,"-")</f>
        <v>-</v>
      </c>
      <c r="P8" s="20"/>
      <c r="Q8" s="9"/>
    </row>
    <row r="9" customFormat="false" ht="33.75" hidden="false" customHeight="true" outlineLevel="0" collapsed="false">
      <c r="A9" s="9" t="s">
        <v>111</v>
      </c>
      <c r="B9" s="9" t="s">
        <v>112</v>
      </c>
      <c r="C9" s="9" t="s">
        <v>113</v>
      </c>
      <c r="D9" s="19" t="n">
        <v>80000</v>
      </c>
      <c r="E9" s="23" t="n">
        <v>0.4</v>
      </c>
      <c r="F9" s="9"/>
      <c r="G9" s="9" t="s">
        <v>97</v>
      </c>
      <c r="H9" s="10"/>
      <c r="I9" s="18"/>
      <c r="J9" s="9" t="s">
        <v>114</v>
      </c>
      <c r="K9" s="10"/>
      <c r="L9" s="19"/>
      <c r="M9" s="12" t="str">
        <f aca="false">IFERROR(K9/L9,"-")</f>
        <v>-</v>
      </c>
      <c r="N9" s="19"/>
      <c r="O9" s="24" t="str">
        <f aca="false">IFERROR(N9/L9,"-")</f>
        <v>-</v>
      </c>
      <c r="P9" s="20"/>
      <c r="Q9" s="9"/>
    </row>
    <row r="10" customFormat="false" ht="33.75" hidden="false" customHeight="true" outlineLevel="0" collapsed="false">
      <c r="A10" s="9"/>
      <c r="B10" s="9"/>
      <c r="C10" s="9"/>
      <c r="D10" s="19"/>
      <c r="E10" s="23"/>
      <c r="F10" s="9"/>
      <c r="G10" s="9"/>
      <c r="H10" s="10"/>
      <c r="I10" s="18"/>
      <c r="J10" s="9"/>
      <c r="K10" s="10"/>
      <c r="L10" s="19"/>
      <c r="M10" s="12" t="str">
        <f aca="false">IFERROR(K10/L10,"-")</f>
        <v>-</v>
      </c>
      <c r="N10" s="19"/>
      <c r="O10" s="24" t="str">
        <f aca="false">IFERROR(N10/L10,"-")</f>
        <v>-</v>
      </c>
      <c r="P10" s="20"/>
      <c r="Q10" s="9"/>
    </row>
    <row r="11" customFormat="false" ht="33.75" hidden="false" customHeight="true" outlineLevel="0" collapsed="false">
      <c r="A11" s="9"/>
      <c r="B11" s="9"/>
      <c r="C11" s="9"/>
      <c r="D11" s="19"/>
      <c r="E11" s="23"/>
      <c r="F11" s="9"/>
      <c r="G11" s="9"/>
      <c r="H11" s="10"/>
      <c r="I11" s="18"/>
      <c r="J11" s="9"/>
      <c r="K11" s="10"/>
      <c r="L11" s="19"/>
      <c r="M11" s="12" t="str">
        <f aca="false">IFERROR(K11/L11,"-")</f>
        <v>-</v>
      </c>
      <c r="N11" s="19"/>
      <c r="O11" s="24" t="str">
        <f aca="false">IFERROR(N11/L11,"-")</f>
        <v>-</v>
      </c>
      <c r="P11" s="20"/>
      <c r="Q11" s="9"/>
    </row>
    <row r="12" customFormat="false" ht="33.75" hidden="false" customHeight="true" outlineLevel="0" collapsed="false">
      <c r="A12" s="9"/>
      <c r="B12" s="9"/>
      <c r="C12" s="9"/>
      <c r="D12" s="19"/>
      <c r="E12" s="23"/>
      <c r="F12" s="9"/>
      <c r="G12" s="9"/>
      <c r="H12" s="10"/>
      <c r="I12" s="18"/>
      <c r="J12" s="9"/>
      <c r="K12" s="10"/>
      <c r="L12" s="19"/>
      <c r="M12" s="12" t="str">
        <f aca="false">IFERROR(K12/L12,"-")</f>
        <v>-</v>
      </c>
      <c r="N12" s="19"/>
      <c r="O12" s="24" t="str">
        <f aca="false">IFERROR(N12/L12,"-")</f>
        <v>-</v>
      </c>
      <c r="P12" s="20"/>
      <c r="Q12" s="9"/>
    </row>
    <row r="14" customFormat="false" ht="15" hidden="false" customHeight="false" outlineLevel="0" collapsed="false">
      <c r="A14" s="13" t="s">
        <v>115</v>
      </c>
      <c r="B14" s="13"/>
      <c r="C14" s="13"/>
      <c r="D14" s="13"/>
      <c r="E14" s="13"/>
      <c r="F14" s="13"/>
      <c r="G14" s="13"/>
      <c r="H14" s="13"/>
      <c r="I14" s="13"/>
      <c r="J14" s="13"/>
      <c r="K14" s="14" t="n">
        <f aca="false">SUM(K5:K12)</f>
        <v>0</v>
      </c>
      <c r="L14" s="15" t="n">
        <f aca="false">SUM(L5:L12)</f>
        <v>0</v>
      </c>
      <c r="M14" s="25" t="str">
        <f aca="false">IFERROR(K14/L14,"-")</f>
        <v>-</v>
      </c>
      <c r="N14" s="15" t="n">
        <f aca="false">SUM(N5:N12)</f>
        <v>0</v>
      </c>
      <c r="O14" s="26" t="str">
        <f aca="false">IFERROR(N14/L14,"-")</f>
        <v>-</v>
      </c>
      <c r="P14" s="13"/>
      <c r="Q14" s="13"/>
    </row>
  </sheetData>
  <dataValidations count="2">
    <dataValidation allowBlank="true" errorStyle="stop" operator="between" showDropDown="false" showErrorMessage="false" showInputMessage="false" sqref="G5:G30" type="list">
      <formula1>"Researching,Contacted,Negotiating,Booked,Live,Complete,Killed"</formula1>
      <formula2>0</formula2>
    </dataValidation>
    <dataValidation allowBlank="true" errorStyle="stop" operator="between" showDropDown="false" showErrorMessage="false" showInputMessage="false" sqref="P5:P30" type="list">
      <formula1>"Scale,Repeat,Kill,Pending"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2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19"/>
    <col collapsed="false" customWidth="true" hidden="false" outlineLevel="0" max="10" min="10" style="0" width="14"/>
    <col collapsed="false" customWidth="true" hidden="false" outlineLevel="0" max="11" min="11" style="0" width="11"/>
    <col collapsed="false" customWidth="true" hidden="false" outlineLevel="0" max="12" min="12" style="0" width="19"/>
    <col collapsed="false" customWidth="true" hidden="false" outlineLevel="0" max="13" min="13" style="0" width="14"/>
    <col collapsed="false" customWidth="true" hidden="false" outlineLevel="0" max="14" min="14" style="0" width="24"/>
  </cols>
  <sheetData>
    <row r="1" customFormat="false" ht="22.05" hidden="false" customHeight="false" outlineLevel="0" collapsed="false">
      <c r="A1" s="17" t="s">
        <v>116</v>
      </c>
    </row>
    <row r="2" customFormat="false" ht="15" hidden="false" customHeight="false" outlineLevel="0" collapsed="false">
      <c r="A2" s="2" t="s">
        <v>117</v>
      </c>
    </row>
    <row r="4" customFormat="false" ht="36" hidden="false" customHeight="true" outlineLevel="0" collapsed="false">
      <c r="A4" s="8" t="s">
        <v>118</v>
      </c>
      <c r="B4" s="8" t="s">
        <v>119</v>
      </c>
      <c r="C4" s="8" t="s">
        <v>120</v>
      </c>
      <c r="D4" s="8" t="s">
        <v>121</v>
      </c>
      <c r="E4" s="8" t="s">
        <v>68</v>
      </c>
      <c r="F4" s="8" t="s">
        <v>122</v>
      </c>
      <c r="G4" s="8" t="s">
        <v>123</v>
      </c>
      <c r="H4" s="8" t="s">
        <v>13</v>
      </c>
      <c r="I4" s="8" t="s">
        <v>91</v>
      </c>
      <c r="J4" s="8" t="s">
        <v>92</v>
      </c>
      <c r="K4" s="8" t="s">
        <v>90</v>
      </c>
      <c r="L4" s="8" t="s">
        <v>124</v>
      </c>
      <c r="M4" s="8" t="s">
        <v>93</v>
      </c>
      <c r="N4" s="8" t="s">
        <v>19</v>
      </c>
    </row>
    <row r="5" customFormat="false" ht="30" hidden="false" customHeight="true" outlineLevel="0" collapsed="false">
      <c r="A5" s="9" t="s">
        <v>125</v>
      </c>
      <c r="B5" s="9" t="s">
        <v>126</v>
      </c>
      <c r="C5" s="27" t="n">
        <v>40</v>
      </c>
      <c r="D5" s="28"/>
      <c r="E5" s="19"/>
      <c r="F5" s="19"/>
      <c r="G5" s="29" t="str">
        <f aca="false">IFERROR(F5/E5,"-")</f>
        <v>-</v>
      </c>
      <c r="H5" s="19"/>
      <c r="I5" s="19"/>
      <c r="J5" s="30" t="str">
        <f aca="false">IFERROR(I5/H5,"-")</f>
        <v>-</v>
      </c>
      <c r="K5" s="28" t="str">
        <f aca="false">IFERROR(D5/H5,"-")</f>
        <v>-</v>
      </c>
      <c r="L5" s="28" t="str">
        <f aca="false">IFERROR(D5/I5,"-")</f>
        <v>-</v>
      </c>
      <c r="M5" s="20"/>
      <c r="N5" s="9"/>
    </row>
    <row r="6" customFormat="false" ht="30" hidden="false" customHeight="true" outlineLevel="0" collapsed="false">
      <c r="A6" s="9" t="s">
        <v>127</v>
      </c>
      <c r="B6" s="9" t="s">
        <v>126</v>
      </c>
      <c r="C6" s="27" t="n">
        <v>40</v>
      </c>
      <c r="D6" s="28"/>
      <c r="E6" s="19"/>
      <c r="F6" s="19"/>
      <c r="G6" s="29" t="str">
        <f aca="false">IFERROR(F6/E6,"-")</f>
        <v>-</v>
      </c>
      <c r="H6" s="19"/>
      <c r="I6" s="19"/>
      <c r="J6" s="30" t="str">
        <f aca="false">IFERROR(I6/H6,"-")</f>
        <v>-</v>
      </c>
      <c r="K6" s="28" t="str">
        <f aca="false">IFERROR(D6/H6,"-")</f>
        <v>-</v>
      </c>
      <c r="L6" s="28" t="str">
        <f aca="false">IFERROR(D6/I6,"-")</f>
        <v>-</v>
      </c>
      <c r="M6" s="20"/>
      <c r="N6" s="9"/>
    </row>
    <row r="7" customFormat="false" ht="30" hidden="false" customHeight="true" outlineLevel="0" collapsed="false">
      <c r="A7" s="9" t="s">
        <v>128</v>
      </c>
      <c r="B7" s="9" t="s">
        <v>129</v>
      </c>
      <c r="C7" s="27" t="n">
        <v>30</v>
      </c>
      <c r="D7" s="28"/>
      <c r="E7" s="19"/>
      <c r="F7" s="19"/>
      <c r="G7" s="29" t="str">
        <f aca="false">IFERROR(F7/E7,"-")</f>
        <v>-</v>
      </c>
      <c r="H7" s="19"/>
      <c r="I7" s="19"/>
      <c r="J7" s="30" t="str">
        <f aca="false">IFERROR(I7/H7,"-")</f>
        <v>-</v>
      </c>
      <c r="K7" s="28" t="str">
        <f aca="false">IFERROR(D7/H7,"-")</f>
        <v>-</v>
      </c>
      <c r="L7" s="28" t="str">
        <f aca="false">IFERROR(D7/I7,"-")</f>
        <v>-</v>
      </c>
      <c r="M7" s="20"/>
      <c r="N7" s="9"/>
    </row>
    <row r="8" customFormat="false" ht="30" hidden="false" customHeight="true" outlineLevel="0" collapsed="false">
      <c r="A8" s="9" t="s">
        <v>130</v>
      </c>
      <c r="B8" s="9" t="s">
        <v>126</v>
      </c>
      <c r="C8" s="27" t="n">
        <v>30</v>
      </c>
      <c r="D8" s="28"/>
      <c r="E8" s="19"/>
      <c r="F8" s="19"/>
      <c r="G8" s="29" t="str">
        <f aca="false">IFERROR(F8/E8,"-")</f>
        <v>-</v>
      </c>
      <c r="H8" s="19"/>
      <c r="I8" s="19"/>
      <c r="J8" s="30" t="str">
        <f aca="false">IFERROR(I8/H8,"-")</f>
        <v>-</v>
      </c>
      <c r="K8" s="28" t="str">
        <f aca="false">IFERROR(D8/H8,"-")</f>
        <v>-</v>
      </c>
      <c r="L8" s="28" t="str">
        <f aca="false">IFERROR(D8/I8,"-")</f>
        <v>-</v>
      </c>
      <c r="M8" s="20"/>
      <c r="N8" s="9"/>
    </row>
    <row r="9" customFormat="false" ht="30" hidden="false" customHeight="true" outlineLevel="0" collapsed="false">
      <c r="A9" s="9" t="s">
        <v>131</v>
      </c>
      <c r="B9" s="9" t="s">
        <v>126</v>
      </c>
      <c r="C9" s="27" t="n">
        <v>30</v>
      </c>
      <c r="D9" s="28"/>
      <c r="E9" s="19"/>
      <c r="F9" s="19"/>
      <c r="G9" s="29" t="str">
        <f aca="false">IFERROR(F9/E9,"-")</f>
        <v>-</v>
      </c>
      <c r="H9" s="19"/>
      <c r="I9" s="19"/>
      <c r="J9" s="30" t="str">
        <f aca="false">IFERROR(I9/H9,"-")</f>
        <v>-</v>
      </c>
      <c r="K9" s="28" t="str">
        <f aca="false">IFERROR(D9/H9,"-")</f>
        <v>-</v>
      </c>
      <c r="L9" s="28" t="str">
        <f aca="false">IFERROR(D9/I9,"-")</f>
        <v>-</v>
      </c>
      <c r="M9" s="20"/>
      <c r="N9" s="9"/>
    </row>
    <row r="10" customFormat="false" ht="30" hidden="false" customHeight="true" outlineLevel="0" collapsed="false">
      <c r="A10" s="9" t="s">
        <v>132</v>
      </c>
      <c r="B10" s="9" t="s">
        <v>129</v>
      </c>
      <c r="C10" s="27" t="n">
        <v>30</v>
      </c>
      <c r="D10" s="28"/>
      <c r="E10" s="19"/>
      <c r="F10" s="19"/>
      <c r="G10" s="29" t="str">
        <f aca="false">IFERROR(F10/E10,"-")</f>
        <v>-</v>
      </c>
      <c r="H10" s="19"/>
      <c r="I10" s="19"/>
      <c r="J10" s="30" t="str">
        <f aca="false">IFERROR(I10/H10,"-")</f>
        <v>-</v>
      </c>
      <c r="K10" s="28" t="str">
        <f aca="false">IFERROR(D10/H10,"-")</f>
        <v>-</v>
      </c>
      <c r="L10" s="28" t="str">
        <f aca="false">IFERROR(D10/I10,"-")</f>
        <v>-</v>
      </c>
      <c r="M10" s="20"/>
      <c r="N10" s="9"/>
    </row>
    <row r="11" customFormat="false" ht="30" hidden="false" customHeight="true" outlineLevel="0" collapsed="false">
      <c r="A11" s="9"/>
      <c r="B11" s="9"/>
      <c r="C11" s="27"/>
      <c r="D11" s="28"/>
      <c r="E11" s="19"/>
      <c r="F11" s="19"/>
      <c r="G11" s="29" t="str">
        <f aca="false">IFERROR(F11/E11,"-")</f>
        <v>-</v>
      </c>
      <c r="H11" s="19"/>
      <c r="I11" s="19"/>
      <c r="J11" s="30" t="str">
        <f aca="false">IFERROR(I11/H11,"-")</f>
        <v>-</v>
      </c>
      <c r="K11" s="28" t="str">
        <f aca="false">IFERROR(D11/H11,"-")</f>
        <v>-</v>
      </c>
      <c r="L11" s="28" t="str">
        <f aca="false">IFERROR(D11/I11,"-")</f>
        <v>-</v>
      </c>
      <c r="M11" s="20"/>
      <c r="N11" s="9"/>
    </row>
    <row r="12" customFormat="false" ht="30" hidden="false" customHeight="true" outlineLevel="0" collapsed="false">
      <c r="A12" s="9"/>
      <c r="B12" s="9"/>
      <c r="C12" s="27"/>
      <c r="D12" s="28"/>
      <c r="E12" s="19"/>
      <c r="F12" s="19"/>
      <c r="G12" s="29" t="str">
        <f aca="false">IFERROR(F12/E12,"-")</f>
        <v>-</v>
      </c>
      <c r="H12" s="19"/>
      <c r="I12" s="19"/>
      <c r="J12" s="30" t="str">
        <f aca="false">IFERROR(I12/H12,"-")</f>
        <v>-</v>
      </c>
      <c r="K12" s="28" t="str">
        <f aca="false">IFERROR(D12/H12,"-")</f>
        <v>-</v>
      </c>
      <c r="L12" s="28" t="str">
        <f aca="false">IFERROR(D12/I12,"-")</f>
        <v>-</v>
      </c>
      <c r="M12" s="20"/>
      <c r="N12" s="9"/>
    </row>
    <row r="14" customFormat="false" ht="15" hidden="false" customHeight="false" outlineLevel="0" collapsed="false">
      <c r="A14" s="13" t="s">
        <v>115</v>
      </c>
      <c r="B14" s="13"/>
      <c r="C14" s="13"/>
      <c r="D14" s="31" t="n">
        <f aca="false">SUM(D5:D12)</f>
        <v>0</v>
      </c>
      <c r="E14" s="15" t="n">
        <f aca="false">SUM(E5:E12)</f>
        <v>0</v>
      </c>
      <c r="F14" s="15" t="n">
        <f aca="false">SUM(F5:F12)</f>
        <v>0</v>
      </c>
      <c r="G14" s="32" t="str">
        <f aca="false">IFERROR(F14/E14,"-")</f>
        <v>-</v>
      </c>
      <c r="H14" s="15" t="n">
        <f aca="false">SUM(H5:H12)</f>
        <v>0</v>
      </c>
      <c r="I14" s="15" t="n">
        <f aca="false">SUM(I5:I12)</f>
        <v>0</v>
      </c>
      <c r="J14" s="26" t="str">
        <f aca="false">IFERROR(I14/H14,"-")</f>
        <v>-</v>
      </c>
      <c r="K14" s="25" t="str">
        <f aca="false">IFERROR(D14/H14,"-")</f>
        <v>-</v>
      </c>
      <c r="L14" s="25" t="str">
        <f aca="false">IFERROR(D14/I14,"-")</f>
        <v>-</v>
      </c>
      <c r="M14" s="13"/>
      <c r="N14" s="13"/>
    </row>
  </sheetData>
  <conditionalFormatting sqref="J5:J20">
    <cfRule type="cellIs" priority="2" operator="greaterThanOrEqual" aboveAverage="0" equalAverage="0" bottom="0" percent="0" rank="0" text="" dxfId="1">
      <formula>0.25</formula>
    </cfRule>
    <cfRule type="cellIs" priority="3" operator="lessThanOrEqual" aboveAverage="0" equalAverage="0" bottom="0" percent="0" rank="0" text="" dxfId="2">
      <formula>0.1</formula>
    </cfRule>
  </conditionalFormatting>
  <dataValidations count="2">
    <dataValidation allowBlank="true" errorStyle="stop" operator="between" showDropDown="false" showErrorMessage="false" showInputMessage="false" sqref="B5:B20" type="list">
      <formula1>"Exact,Phrase,Broad"</formula1>
      <formula2>0</formula2>
    </dataValidation>
    <dataValidation allowBlank="true" errorStyle="stop" operator="between" showDropDown="false" showErrorMessage="false" showInputMessage="false" sqref="M5:M20" type="list">
      <formula1>"Scale,Pause,Kill,Pending"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8" min="5" style="0" width="12"/>
    <col collapsed="false" customWidth="true" hidden="false" outlineLevel="0" max="9" min="9" style="0" width="22"/>
    <col collapsed="false" customWidth="true" hidden="false" outlineLevel="0" max="11" min="10" style="0" width="11"/>
    <col collapsed="false" customWidth="true" hidden="false" outlineLevel="0" max="12" min="12" style="0" width="16"/>
    <col collapsed="false" customWidth="true" hidden="false" outlineLevel="0" max="13" min="13" style="0" width="18"/>
    <col collapsed="false" customWidth="true" hidden="false" outlineLevel="0" max="15" min="14" style="0" width="16"/>
    <col collapsed="false" customWidth="true" hidden="false" outlineLevel="0" max="16" min="16" style="0" width="24"/>
  </cols>
  <sheetData>
    <row r="1" customFormat="false" ht="22.05" hidden="false" customHeight="false" outlineLevel="0" collapsed="false">
      <c r="A1" s="17" t="s">
        <v>42</v>
      </c>
    </row>
    <row r="2" customFormat="false" ht="15" hidden="false" customHeight="false" outlineLevel="0" collapsed="false">
      <c r="A2" s="2" t="s">
        <v>133</v>
      </c>
    </row>
    <row r="4" customFormat="false" ht="36" hidden="false" customHeight="true" outlineLevel="0" collapsed="false">
      <c r="A4" s="8" t="s">
        <v>134</v>
      </c>
      <c r="B4" s="8" t="s">
        <v>135</v>
      </c>
      <c r="C4" s="8" t="s">
        <v>136</v>
      </c>
      <c r="D4" s="8" t="s">
        <v>137</v>
      </c>
      <c r="E4" s="8" t="s">
        <v>10</v>
      </c>
      <c r="F4" s="8" t="s">
        <v>138</v>
      </c>
      <c r="G4" s="8" t="s">
        <v>139</v>
      </c>
      <c r="H4" s="8" t="s">
        <v>140</v>
      </c>
      <c r="I4" s="8" t="s">
        <v>141</v>
      </c>
      <c r="J4" s="8" t="s">
        <v>142</v>
      </c>
      <c r="K4" s="8" t="s">
        <v>143</v>
      </c>
      <c r="L4" s="8" t="s">
        <v>144</v>
      </c>
      <c r="M4" s="8" t="s">
        <v>145</v>
      </c>
      <c r="N4" s="8" t="s">
        <v>146</v>
      </c>
      <c r="O4" s="8" t="s">
        <v>31</v>
      </c>
      <c r="P4" s="8" t="s">
        <v>19</v>
      </c>
    </row>
    <row r="5" customFormat="false" ht="36" hidden="false" customHeight="true" outlineLevel="0" collapsed="false">
      <c r="A5" s="9" t="s">
        <v>147</v>
      </c>
      <c r="B5" s="9" t="s">
        <v>148</v>
      </c>
      <c r="C5" s="19"/>
      <c r="D5" s="9"/>
      <c r="E5" s="9" t="s">
        <v>149</v>
      </c>
      <c r="F5" s="18"/>
      <c r="G5" s="18"/>
      <c r="H5" s="18"/>
      <c r="I5" s="9"/>
      <c r="J5" s="19"/>
      <c r="K5" s="27"/>
      <c r="L5" s="19"/>
      <c r="M5" s="19"/>
      <c r="N5" s="19"/>
      <c r="O5" s="19"/>
      <c r="P5" s="9"/>
    </row>
    <row r="6" customFormat="false" ht="36" hidden="false" customHeight="true" outlineLevel="0" collapsed="false">
      <c r="A6" s="9" t="s">
        <v>150</v>
      </c>
      <c r="B6" s="9" t="s">
        <v>151</v>
      </c>
      <c r="C6" s="19"/>
      <c r="D6" s="9"/>
      <c r="E6" s="9" t="s">
        <v>149</v>
      </c>
      <c r="F6" s="18"/>
      <c r="G6" s="18"/>
      <c r="H6" s="18"/>
      <c r="I6" s="9"/>
      <c r="J6" s="19"/>
      <c r="K6" s="27"/>
      <c r="L6" s="19"/>
      <c r="M6" s="19"/>
      <c r="N6" s="19"/>
      <c r="O6" s="19"/>
      <c r="P6" s="9"/>
    </row>
    <row r="7" customFormat="false" ht="36" hidden="false" customHeight="true" outlineLevel="0" collapsed="false">
      <c r="A7" s="9" t="s">
        <v>152</v>
      </c>
      <c r="B7" s="9" t="s">
        <v>153</v>
      </c>
      <c r="C7" s="19"/>
      <c r="D7" s="9"/>
      <c r="E7" s="9" t="s">
        <v>149</v>
      </c>
      <c r="F7" s="18"/>
      <c r="G7" s="18"/>
      <c r="H7" s="18"/>
      <c r="I7" s="9"/>
      <c r="J7" s="19"/>
      <c r="K7" s="27"/>
      <c r="L7" s="19"/>
      <c r="M7" s="19"/>
      <c r="N7" s="19"/>
      <c r="O7" s="19"/>
      <c r="P7" s="9"/>
    </row>
    <row r="8" customFormat="false" ht="36" hidden="false" customHeight="true" outlineLevel="0" collapsed="false">
      <c r="A8" s="9" t="s">
        <v>154</v>
      </c>
      <c r="B8" s="9" t="s">
        <v>155</v>
      </c>
      <c r="C8" s="19"/>
      <c r="D8" s="9"/>
      <c r="E8" s="9" t="s">
        <v>149</v>
      </c>
      <c r="F8" s="18"/>
      <c r="G8" s="18"/>
      <c r="H8" s="18"/>
      <c r="I8" s="9"/>
      <c r="J8" s="19"/>
      <c r="K8" s="27"/>
      <c r="L8" s="19"/>
      <c r="M8" s="19"/>
      <c r="N8" s="19"/>
      <c r="O8" s="19"/>
      <c r="P8" s="9"/>
    </row>
    <row r="9" customFormat="false" ht="36" hidden="false" customHeight="true" outlineLevel="0" collapsed="false">
      <c r="A9" s="9" t="s">
        <v>156</v>
      </c>
      <c r="B9" s="9" t="s">
        <v>157</v>
      </c>
      <c r="C9" s="19"/>
      <c r="D9" s="9"/>
      <c r="E9" s="9" t="s">
        <v>149</v>
      </c>
      <c r="F9" s="18"/>
      <c r="G9" s="18"/>
      <c r="H9" s="18"/>
      <c r="I9" s="9"/>
      <c r="J9" s="19"/>
      <c r="K9" s="27"/>
      <c r="L9" s="19"/>
      <c r="M9" s="19"/>
      <c r="N9" s="19"/>
      <c r="O9" s="19"/>
      <c r="P9" s="9"/>
    </row>
    <row r="10" customFormat="false" ht="36" hidden="false" customHeight="true" outlineLevel="0" collapsed="false">
      <c r="A10" s="9"/>
      <c r="B10" s="9"/>
      <c r="C10" s="19"/>
      <c r="D10" s="9"/>
      <c r="E10" s="9"/>
      <c r="F10" s="18"/>
      <c r="G10" s="18"/>
      <c r="H10" s="18"/>
      <c r="I10" s="9"/>
      <c r="J10" s="19"/>
      <c r="K10" s="27"/>
      <c r="L10" s="19"/>
      <c r="M10" s="19"/>
      <c r="N10" s="19"/>
      <c r="O10" s="19"/>
      <c r="P10" s="9"/>
    </row>
    <row r="11" customFormat="false" ht="36" hidden="false" customHeight="true" outlineLevel="0" collapsed="false">
      <c r="A11" s="9"/>
      <c r="B11" s="9"/>
      <c r="C11" s="19"/>
      <c r="D11" s="9"/>
      <c r="E11" s="9"/>
      <c r="F11" s="18"/>
      <c r="G11" s="18"/>
      <c r="H11" s="18"/>
      <c r="I11" s="9"/>
      <c r="J11" s="19"/>
      <c r="K11" s="27"/>
      <c r="L11" s="19"/>
      <c r="M11" s="19"/>
      <c r="N11" s="19"/>
      <c r="O11" s="19"/>
      <c r="P11" s="9"/>
    </row>
    <row r="12" customFormat="false" ht="36" hidden="false" customHeight="true" outlineLevel="0" collapsed="false">
      <c r="A12" s="9"/>
      <c r="B12" s="9"/>
      <c r="C12" s="19"/>
      <c r="D12" s="9"/>
      <c r="E12" s="9"/>
      <c r="F12" s="18"/>
      <c r="G12" s="18"/>
      <c r="H12" s="18"/>
      <c r="I12" s="9"/>
      <c r="J12" s="19"/>
      <c r="K12" s="27"/>
      <c r="L12" s="19"/>
      <c r="M12" s="19"/>
      <c r="N12" s="19"/>
      <c r="O12" s="19"/>
      <c r="P12" s="9"/>
    </row>
  </sheetData>
  <dataValidations count="1">
    <dataValidation allowBlank="true" errorStyle="stop" operator="between" showDropDown="false" showErrorMessage="false" showInputMessage="false" sqref="E5:E30" type="list">
      <formula1>"Idea,Brief,In progress,Edit,Published,Killed"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7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7" min="6" style="0" width="16"/>
    <col collapsed="false" customWidth="true" hidden="false" outlineLevel="0" max="8" min="8" style="0" width="22"/>
    <col collapsed="false" customWidth="true" hidden="false" outlineLevel="0" max="9" min="9" style="0" width="13"/>
    <col collapsed="false" customWidth="true" hidden="false" outlineLevel="0" max="10" min="10" style="0" width="16"/>
    <col collapsed="false" customWidth="true" hidden="false" outlineLevel="0" max="12" min="11" style="0" width="14"/>
    <col collapsed="false" customWidth="true" hidden="false" outlineLevel="0" max="13" min="13" style="0" width="22"/>
    <col collapsed="false" customWidth="true" hidden="false" outlineLevel="0" max="14" min="14" style="0" width="26"/>
  </cols>
  <sheetData>
    <row r="1" customFormat="false" ht="22.05" hidden="false" customHeight="false" outlineLevel="0" collapsed="false">
      <c r="A1" s="17" t="s">
        <v>158</v>
      </c>
    </row>
    <row r="2" customFormat="false" ht="15" hidden="false" customHeight="false" outlineLevel="0" collapsed="false">
      <c r="A2" s="2" t="s">
        <v>159</v>
      </c>
    </row>
    <row r="4" customFormat="false" ht="42" hidden="false" customHeight="true" outlineLevel="0" collapsed="false">
      <c r="A4" s="8" t="s">
        <v>160</v>
      </c>
      <c r="B4" s="8" t="s">
        <v>161</v>
      </c>
      <c r="C4" s="8" t="s">
        <v>162</v>
      </c>
      <c r="D4" s="8" t="s">
        <v>163</v>
      </c>
      <c r="E4" s="8" t="s">
        <v>164</v>
      </c>
      <c r="F4" s="8" t="s">
        <v>165</v>
      </c>
      <c r="G4" s="8" t="s">
        <v>166</v>
      </c>
      <c r="H4" s="8" t="s">
        <v>91</v>
      </c>
      <c r="I4" s="8" t="s">
        <v>92</v>
      </c>
      <c r="J4" s="8" t="s">
        <v>167</v>
      </c>
      <c r="K4" s="8" t="s">
        <v>168</v>
      </c>
      <c r="L4" s="8" t="s">
        <v>169</v>
      </c>
      <c r="M4" s="8" t="s">
        <v>170</v>
      </c>
      <c r="N4" s="8" t="s">
        <v>19</v>
      </c>
    </row>
    <row r="5" customFormat="false" ht="25.5" hidden="false" customHeight="true" outlineLevel="0" collapsed="false">
      <c r="A5" s="18"/>
      <c r="B5" s="19" t="n">
        <f aca="false">IFERROR(SUM(C5:G5),"-")</f>
        <v>0</v>
      </c>
      <c r="C5" s="19"/>
      <c r="D5" s="19"/>
      <c r="E5" s="19"/>
      <c r="F5" s="19"/>
      <c r="G5" s="19"/>
      <c r="H5" s="19"/>
      <c r="I5" s="30" t="str">
        <f aca="false">IFERROR(H5/B5,"-")</f>
        <v>-</v>
      </c>
      <c r="J5" s="30"/>
      <c r="K5" s="27"/>
      <c r="L5" s="28" t="str">
        <f aca="false">IFERROR(K5/B5,"-")</f>
        <v>-</v>
      </c>
      <c r="M5" s="19"/>
      <c r="N5" s="9"/>
    </row>
    <row r="6" customFormat="false" ht="25.5" hidden="false" customHeight="true" outlineLevel="0" collapsed="false">
      <c r="A6" s="18"/>
      <c r="B6" s="19" t="n">
        <f aca="false">IFERROR(SUM(C6:G6),"-")</f>
        <v>0</v>
      </c>
      <c r="C6" s="19"/>
      <c r="D6" s="19"/>
      <c r="E6" s="19"/>
      <c r="F6" s="19"/>
      <c r="G6" s="19"/>
      <c r="H6" s="19"/>
      <c r="I6" s="30" t="str">
        <f aca="false">IFERROR(H6/B6,"-")</f>
        <v>-</v>
      </c>
      <c r="J6" s="30"/>
      <c r="K6" s="27"/>
      <c r="L6" s="28" t="str">
        <f aca="false">IFERROR(K6/B6,"-")</f>
        <v>-</v>
      </c>
      <c r="M6" s="19"/>
      <c r="N6" s="9"/>
    </row>
    <row r="7" customFormat="false" ht="25.5" hidden="false" customHeight="true" outlineLevel="0" collapsed="false">
      <c r="A7" s="18"/>
      <c r="B7" s="19" t="n">
        <f aca="false">IFERROR(SUM(C7:G7),"-")</f>
        <v>0</v>
      </c>
      <c r="C7" s="19"/>
      <c r="D7" s="19"/>
      <c r="E7" s="19"/>
      <c r="F7" s="19"/>
      <c r="G7" s="19"/>
      <c r="H7" s="19"/>
      <c r="I7" s="30" t="str">
        <f aca="false">IFERROR(H7/B7,"-")</f>
        <v>-</v>
      </c>
      <c r="J7" s="30"/>
      <c r="K7" s="27"/>
      <c r="L7" s="28" t="str">
        <f aca="false">IFERROR(K7/B7,"-")</f>
        <v>-</v>
      </c>
      <c r="M7" s="19"/>
      <c r="N7" s="9"/>
    </row>
    <row r="8" customFormat="false" ht="25.5" hidden="false" customHeight="true" outlineLevel="0" collapsed="false">
      <c r="A8" s="18"/>
      <c r="B8" s="19" t="n">
        <f aca="false">IFERROR(SUM(C8:G8),"-")</f>
        <v>0</v>
      </c>
      <c r="C8" s="19"/>
      <c r="D8" s="19"/>
      <c r="E8" s="19"/>
      <c r="F8" s="19"/>
      <c r="G8" s="19"/>
      <c r="H8" s="19"/>
      <c r="I8" s="30" t="str">
        <f aca="false">IFERROR(H8/B8,"-")</f>
        <v>-</v>
      </c>
      <c r="J8" s="30"/>
      <c r="K8" s="27"/>
      <c r="L8" s="28" t="str">
        <f aca="false">IFERROR(K8/B8,"-")</f>
        <v>-</v>
      </c>
      <c r="M8" s="19"/>
      <c r="N8" s="9"/>
    </row>
    <row r="9" customFormat="false" ht="25.5" hidden="false" customHeight="true" outlineLevel="0" collapsed="false">
      <c r="A9" s="18"/>
      <c r="B9" s="19" t="n">
        <f aca="false">IFERROR(SUM(C9:G9),"-")</f>
        <v>0</v>
      </c>
      <c r="C9" s="19"/>
      <c r="D9" s="19"/>
      <c r="E9" s="19"/>
      <c r="F9" s="19"/>
      <c r="G9" s="19"/>
      <c r="H9" s="19"/>
      <c r="I9" s="30" t="str">
        <f aca="false">IFERROR(H9/B9,"-")</f>
        <v>-</v>
      </c>
      <c r="J9" s="30"/>
      <c r="K9" s="27"/>
      <c r="L9" s="28" t="str">
        <f aca="false">IFERROR(K9/B9,"-")</f>
        <v>-</v>
      </c>
      <c r="M9" s="19"/>
      <c r="N9" s="9"/>
    </row>
    <row r="10" customFormat="false" ht="25.5" hidden="false" customHeight="true" outlineLevel="0" collapsed="false">
      <c r="A10" s="18"/>
      <c r="B10" s="19" t="n">
        <f aca="false">IFERROR(SUM(C10:G10),"-")</f>
        <v>0</v>
      </c>
      <c r="C10" s="19"/>
      <c r="D10" s="19"/>
      <c r="E10" s="19"/>
      <c r="F10" s="19"/>
      <c r="G10" s="19"/>
      <c r="H10" s="19"/>
      <c r="I10" s="30" t="str">
        <f aca="false">IFERROR(H10/B10,"-")</f>
        <v>-</v>
      </c>
      <c r="J10" s="30"/>
      <c r="K10" s="27"/>
      <c r="L10" s="28" t="str">
        <f aca="false">IFERROR(K10/B10,"-")</f>
        <v>-</v>
      </c>
      <c r="M10" s="19"/>
      <c r="N10" s="9"/>
    </row>
    <row r="11" customFormat="false" ht="25.5" hidden="false" customHeight="true" outlineLevel="0" collapsed="false">
      <c r="A11" s="18"/>
      <c r="B11" s="19" t="n">
        <f aca="false">IFERROR(SUM(C11:G11),"-")</f>
        <v>0</v>
      </c>
      <c r="C11" s="19"/>
      <c r="D11" s="19"/>
      <c r="E11" s="19"/>
      <c r="F11" s="19"/>
      <c r="G11" s="19"/>
      <c r="H11" s="19"/>
      <c r="I11" s="30" t="str">
        <f aca="false">IFERROR(H11/B11,"-")</f>
        <v>-</v>
      </c>
      <c r="J11" s="30"/>
      <c r="K11" s="27"/>
      <c r="L11" s="28" t="str">
        <f aca="false">IFERROR(K11/B11,"-")</f>
        <v>-</v>
      </c>
      <c r="M11" s="19"/>
      <c r="N11" s="9"/>
    </row>
    <row r="12" customFormat="false" ht="25.5" hidden="false" customHeight="true" outlineLevel="0" collapsed="false">
      <c r="A12" s="18"/>
      <c r="B12" s="19" t="n">
        <f aca="false">IFERROR(SUM(C12:G12),"-")</f>
        <v>0</v>
      </c>
      <c r="C12" s="19"/>
      <c r="D12" s="19"/>
      <c r="E12" s="19"/>
      <c r="F12" s="19"/>
      <c r="G12" s="19"/>
      <c r="H12" s="19"/>
      <c r="I12" s="30" t="str">
        <f aca="false">IFERROR(H12/B12,"-")</f>
        <v>-</v>
      </c>
      <c r="J12" s="30"/>
      <c r="K12" s="27"/>
      <c r="L12" s="28" t="str">
        <f aca="false">IFERROR(K12/B12,"-")</f>
        <v>-</v>
      </c>
      <c r="M12" s="19"/>
      <c r="N12" s="9"/>
    </row>
    <row r="13" customFormat="false" ht="25.5" hidden="false" customHeight="true" outlineLevel="0" collapsed="false">
      <c r="A13" s="18"/>
      <c r="B13" s="19" t="n">
        <f aca="false">IFERROR(SUM(C13:G13),"-")</f>
        <v>0</v>
      </c>
      <c r="C13" s="19"/>
      <c r="D13" s="19"/>
      <c r="E13" s="19"/>
      <c r="F13" s="19"/>
      <c r="G13" s="19"/>
      <c r="H13" s="19"/>
      <c r="I13" s="30" t="str">
        <f aca="false">IFERROR(H13/B13,"-")</f>
        <v>-</v>
      </c>
      <c r="J13" s="30"/>
      <c r="K13" s="27"/>
      <c r="L13" s="28" t="str">
        <f aca="false">IFERROR(K13/B13,"-")</f>
        <v>-</v>
      </c>
      <c r="M13" s="19"/>
      <c r="N13" s="9"/>
    </row>
    <row r="14" customFormat="false" ht="25.5" hidden="false" customHeight="true" outlineLevel="0" collapsed="false">
      <c r="A14" s="18"/>
      <c r="B14" s="19" t="n">
        <f aca="false">IFERROR(SUM(C14:G14),"-")</f>
        <v>0</v>
      </c>
      <c r="C14" s="19"/>
      <c r="D14" s="19"/>
      <c r="E14" s="19"/>
      <c r="F14" s="19"/>
      <c r="G14" s="19"/>
      <c r="H14" s="19"/>
      <c r="I14" s="30" t="str">
        <f aca="false">IFERROR(H14/B14,"-")</f>
        <v>-</v>
      </c>
      <c r="J14" s="30"/>
      <c r="K14" s="27"/>
      <c r="L14" s="28" t="str">
        <f aca="false">IFERROR(K14/B14,"-")</f>
        <v>-</v>
      </c>
      <c r="M14" s="19"/>
      <c r="N14" s="9"/>
    </row>
    <row r="15" customFormat="false" ht="25.5" hidden="false" customHeight="true" outlineLevel="0" collapsed="false">
      <c r="A15" s="18"/>
      <c r="B15" s="19" t="n">
        <f aca="false">IFERROR(SUM(C15:G15),"-")</f>
        <v>0</v>
      </c>
      <c r="C15" s="19"/>
      <c r="D15" s="19"/>
      <c r="E15" s="19"/>
      <c r="F15" s="19"/>
      <c r="G15" s="19"/>
      <c r="H15" s="19"/>
      <c r="I15" s="30" t="str">
        <f aca="false">IFERROR(H15/B15,"-")</f>
        <v>-</v>
      </c>
      <c r="J15" s="30"/>
      <c r="K15" s="27"/>
      <c r="L15" s="28" t="str">
        <f aca="false">IFERROR(K15/B15,"-")</f>
        <v>-</v>
      </c>
      <c r="M15" s="19"/>
      <c r="N15" s="9"/>
    </row>
    <row r="16" customFormat="false" ht="25.5" hidden="false" customHeight="true" outlineLevel="0" collapsed="false">
      <c r="A16" s="18"/>
      <c r="B16" s="19" t="n">
        <f aca="false">IFERROR(SUM(C16:G16),"-")</f>
        <v>0</v>
      </c>
      <c r="C16" s="19"/>
      <c r="D16" s="19"/>
      <c r="E16" s="19"/>
      <c r="F16" s="19"/>
      <c r="G16" s="19"/>
      <c r="H16" s="19"/>
      <c r="I16" s="30" t="str">
        <f aca="false">IFERROR(H16/B16,"-")</f>
        <v>-</v>
      </c>
      <c r="J16" s="30"/>
      <c r="K16" s="27"/>
      <c r="L16" s="28" t="str">
        <f aca="false">IFERROR(K16/B16,"-")</f>
        <v>-</v>
      </c>
      <c r="M16" s="19"/>
      <c r="N16" s="9"/>
    </row>
    <row r="17" customFormat="false" ht="25.5" hidden="false" customHeight="true" outlineLevel="0" collapsed="false">
      <c r="A17" s="18"/>
      <c r="B17" s="19" t="n">
        <f aca="false">IFERROR(SUM(C17:G17),"-")</f>
        <v>0</v>
      </c>
      <c r="C17" s="19"/>
      <c r="D17" s="19"/>
      <c r="E17" s="19"/>
      <c r="F17" s="19"/>
      <c r="G17" s="19"/>
      <c r="H17" s="19"/>
      <c r="I17" s="30" t="str">
        <f aca="false">IFERROR(H17/B17,"-")</f>
        <v>-</v>
      </c>
      <c r="J17" s="30"/>
      <c r="K17" s="27"/>
      <c r="L17" s="28" t="str">
        <f aca="false">IFERROR(K17/B17,"-")</f>
        <v>-</v>
      </c>
      <c r="M17" s="19"/>
      <c r="N17" s="9"/>
    </row>
    <row r="18" customFormat="false" ht="25.5" hidden="false" customHeight="true" outlineLevel="0" collapsed="false">
      <c r="A18" s="18"/>
      <c r="B18" s="19" t="n">
        <f aca="false">IFERROR(SUM(C18:G18),"-")</f>
        <v>0</v>
      </c>
      <c r="C18" s="19"/>
      <c r="D18" s="19"/>
      <c r="E18" s="19"/>
      <c r="F18" s="19"/>
      <c r="G18" s="19"/>
      <c r="H18" s="19"/>
      <c r="I18" s="30" t="str">
        <f aca="false">IFERROR(H18/B18,"-")</f>
        <v>-</v>
      </c>
      <c r="J18" s="30"/>
      <c r="K18" s="27"/>
      <c r="L18" s="28" t="str">
        <f aca="false">IFERROR(K18/B18,"-")</f>
        <v>-</v>
      </c>
      <c r="M18" s="19"/>
      <c r="N18" s="9"/>
    </row>
    <row r="19" customFormat="false" ht="25.5" hidden="false" customHeight="true" outlineLevel="0" collapsed="false">
      <c r="A19" s="18"/>
      <c r="B19" s="19" t="n">
        <f aca="false">IFERROR(SUM(C19:G19),"-")</f>
        <v>0</v>
      </c>
      <c r="C19" s="19"/>
      <c r="D19" s="19"/>
      <c r="E19" s="19"/>
      <c r="F19" s="19"/>
      <c r="G19" s="19"/>
      <c r="H19" s="19"/>
      <c r="I19" s="30" t="str">
        <f aca="false">IFERROR(H19/B19,"-")</f>
        <v>-</v>
      </c>
      <c r="J19" s="30"/>
      <c r="K19" s="27"/>
      <c r="L19" s="28" t="str">
        <f aca="false">IFERROR(K19/B19,"-")</f>
        <v>-</v>
      </c>
      <c r="M19" s="19"/>
      <c r="N19" s="9"/>
    </row>
    <row r="20" customFormat="false" ht="25.5" hidden="false" customHeight="true" outlineLevel="0" collapsed="false">
      <c r="A20" s="18"/>
      <c r="B20" s="19" t="n">
        <f aca="false">IFERROR(SUM(C20:G20),"-")</f>
        <v>0</v>
      </c>
      <c r="C20" s="19"/>
      <c r="D20" s="19"/>
      <c r="E20" s="19"/>
      <c r="F20" s="19"/>
      <c r="G20" s="19"/>
      <c r="H20" s="19"/>
      <c r="I20" s="30" t="str">
        <f aca="false">IFERROR(H20/B20,"-")</f>
        <v>-</v>
      </c>
      <c r="J20" s="30"/>
      <c r="K20" s="27"/>
      <c r="L20" s="28" t="str">
        <f aca="false">IFERROR(K20/B20,"-")</f>
        <v>-</v>
      </c>
      <c r="M20" s="19"/>
      <c r="N20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60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36"/>
    <col collapsed="false" customWidth="true" hidden="false" outlineLevel="0" max="6" min="6" style="0" width="60"/>
  </cols>
  <sheetData>
    <row r="1" customFormat="false" ht="22.05" hidden="false" customHeight="false" outlineLevel="0" collapsed="false">
      <c r="A1" s="17" t="s">
        <v>171</v>
      </c>
    </row>
    <row r="2" customFormat="false" ht="15" hidden="false" customHeight="false" outlineLevel="0" collapsed="false">
      <c r="A2" s="2" t="s">
        <v>172</v>
      </c>
    </row>
    <row r="4" customFormat="false" ht="15" hidden="false" customHeight="false" outlineLevel="0" collapsed="false">
      <c r="A4" s="33" t="s">
        <v>173</v>
      </c>
    </row>
    <row r="5" customFormat="false" ht="30" hidden="false" customHeight="true" outlineLevel="0" collapsed="false">
      <c r="A5" s="3" t="s">
        <v>174</v>
      </c>
      <c r="B5" s="34" t="s">
        <v>175</v>
      </c>
    </row>
    <row r="6" customFormat="false" ht="30" hidden="false" customHeight="true" outlineLevel="0" collapsed="false">
      <c r="A6" s="3" t="s">
        <v>176</v>
      </c>
      <c r="B6" s="34" t="s">
        <v>177</v>
      </c>
    </row>
    <row r="7" customFormat="false" ht="30" hidden="false" customHeight="true" outlineLevel="0" collapsed="false">
      <c r="A7" s="3" t="s">
        <v>178</v>
      </c>
      <c r="B7" s="34" t="s">
        <v>179</v>
      </c>
    </row>
    <row r="8" customFormat="false" ht="30" hidden="false" customHeight="true" outlineLevel="0" collapsed="false">
      <c r="A8" s="3" t="s">
        <v>180</v>
      </c>
      <c r="B8" s="34" t="s">
        <v>181</v>
      </c>
    </row>
    <row r="9" customFormat="false" ht="30" hidden="false" customHeight="true" outlineLevel="0" collapsed="false">
      <c r="A9" s="3" t="s">
        <v>182</v>
      </c>
      <c r="B9" s="34" t="s">
        <v>183</v>
      </c>
    </row>
    <row r="12" customFormat="false" ht="15" hidden="false" customHeight="false" outlineLevel="0" collapsed="false">
      <c r="A12" s="33" t="s">
        <v>184</v>
      </c>
    </row>
    <row r="13" customFormat="false" ht="15" hidden="false" customHeight="false" outlineLevel="0" collapsed="false">
      <c r="A13" s="3" t="s">
        <v>185</v>
      </c>
      <c r="B13" s="35" t="s">
        <v>186</v>
      </c>
    </row>
    <row r="14" customFormat="false" ht="15" hidden="false" customHeight="false" outlineLevel="0" collapsed="false">
      <c r="A14" s="3" t="s">
        <v>174</v>
      </c>
      <c r="B14" s="35" t="s">
        <v>98</v>
      </c>
    </row>
    <row r="15" customFormat="false" ht="15" hidden="false" customHeight="false" outlineLevel="0" collapsed="false">
      <c r="A15" s="3" t="s">
        <v>176</v>
      </c>
      <c r="B15" s="35" t="s">
        <v>187</v>
      </c>
    </row>
    <row r="16" customFormat="false" ht="15" hidden="false" customHeight="false" outlineLevel="0" collapsed="false">
      <c r="A16" s="3" t="s">
        <v>178</v>
      </c>
      <c r="B16" s="35" t="s">
        <v>188</v>
      </c>
    </row>
    <row r="17" customFormat="false" ht="15" hidden="false" customHeight="false" outlineLevel="0" collapsed="false">
      <c r="A17" s="3" t="s">
        <v>180</v>
      </c>
      <c r="B17" s="35"/>
    </row>
    <row r="18" customFormat="false" ht="15" hidden="false" customHeight="false" outlineLevel="0" collapsed="false">
      <c r="A18" s="3" t="s">
        <v>182</v>
      </c>
      <c r="B18" s="35"/>
    </row>
    <row r="20" customFormat="false" ht="60" hidden="false" customHeight="true" outlineLevel="0" collapsed="false">
      <c r="A20" s="33" t="s">
        <v>189</v>
      </c>
      <c r="B20" s="36" t="str">
        <f aca="false">B13 &amp; "?utm_source=" &amp; B14 &amp; "&amp;utm_medium=" &amp; B15 &amp; "&amp;utm_campaign=" &amp; B16 &amp; IF(B17="","","&amp;utm_content=" &amp; B17) &amp; IF(B18="","","&amp;utm_term=" &amp; B18)</f>
        <v>https://frugavo.com/sign-up?utm_source=newsletter_moneywithkatie&amp;utm_medium=email&amp;utm_campaign=mwk_sponsorship_1</v>
      </c>
    </row>
    <row r="23" customFormat="false" ht="15" hidden="false" customHeight="false" outlineLevel="0" collapsed="false">
      <c r="A23" s="33" t="s">
        <v>190</v>
      </c>
    </row>
    <row r="24" customFormat="false" ht="36" hidden="false" customHeight="true" outlineLevel="0" collapsed="false">
      <c r="A24" s="8" t="s">
        <v>191</v>
      </c>
      <c r="B24" s="8" t="s">
        <v>174</v>
      </c>
      <c r="C24" s="8" t="s">
        <v>176</v>
      </c>
      <c r="D24" s="8" t="s">
        <v>178</v>
      </c>
      <c r="E24" s="8" t="s">
        <v>192</v>
      </c>
      <c r="F24" s="8" t="s">
        <v>189</v>
      </c>
    </row>
    <row r="25" customFormat="false" ht="30" hidden="false" customHeight="true" outlineLevel="0" collapsed="false">
      <c r="A25" s="9" t="s">
        <v>193</v>
      </c>
      <c r="B25" s="9" t="s">
        <v>194</v>
      </c>
      <c r="C25" s="9" t="s">
        <v>195</v>
      </c>
      <c r="D25" s="9" t="s">
        <v>196</v>
      </c>
      <c r="E25" s="9" t="s">
        <v>197</v>
      </c>
      <c r="F25" s="37" t="str">
        <f aca="false">E25 &amp; "?utm_source=" &amp; B25 &amp; "&amp;utm_medium=" &amp; C25 &amp; "&amp;utm_campaign=" &amp; D25</f>
        <v>https://frugavo.com?utm_source=x_bio&amp;utm_medium=social&amp;utm_campaign=founder_access_launch</v>
      </c>
    </row>
    <row r="26" customFormat="false" ht="30" hidden="false" customHeight="true" outlineLevel="0" collapsed="false">
      <c r="A26" s="9" t="s">
        <v>198</v>
      </c>
      <c r="B26" s="9" t="s">
        <v>199</v>
      </c>
      <c r="C26" s="9" t="s">
        <v>195</v>
      </c>
      <c r="D26" s="9" t="s">
        <v>196</v>
      </c>
      <c r="E26" s="9" t="s">
        <v>197</v>
      </c>
      <c r="F26" s="37" t="str">
        <f aca="false">E26 &amp; "?utm_source=" &amp; B26 &amp; "&amp;utm_medium=" &amp; C26 &amp; "&amp;utm_campaign=" &amp; D26</f>
        <v>https://frugavo.com?utm_source=x_pinned&amp;utm_medium=social&amp;utm_campaign=founder_access_launch</v>
      </c>
    </row>
    <row r="27" customFormat="false" ht="30" hidden="false" customHeight="true" outlineLevel="0" collapsed="false">
      <c r="A27" s="9" t="s">
        <v>200</v>
      </c>
      <c r="B27" s="9" t="s">
        <v>201</v>
      </c>
      <c r="C27" s="9" t="s">
        <v>195</v>
      </c>
      <c r="D27" s="9" t="s">
        <v>196</v>
      </c>
      <c r="E27" s="9" t="s">
        <v>197</v>
      </c>
      <c r="F27" s="37" t="str">
        <f aca="false">E27 &amp; "?utm_source=" &amp; B27 &amp; "&amp;utm_medium=" &amp; C27 &amp; "&amp;utm_campaign=" &amp; D27</f>
        <v>https://frugavo.com?utm_source=x_reply&amp;utm_medium=social&amp;utm_campaign=founder_access_launch</v>
      </c>
    </row>
    <row r="28" customFormat="false" ht="30" hidden="false" customHeight="true" outlineLevel="0" collapsed="false">
      <c r="A28" s="9" t="s">
        <v>202</v>
      </c>
      <c r="B28" s="9" t="s">
        <v>98</v>
      </c>
      <c r="C28" s="9" t="s">
        <v>187</v>
      </c>
      <c r="D28" s="9" t="s">
        <v>188</v>
      </c>
      <c r="E28" s="9" t="s">
        <v>186</v>
      </c>
      <c r="F28" s="37" t="str">
        <f aca="false">E28 &amp; "?utm_source=" &amp; B28 &amp; "&amp;utm_medium=" &amp; C28 &amp; "&amp;utm_campaign=" &amp; D28</f>
        <v>https://frugavo.com/sign-up?utm_source=newsletter_moneywithkatie&amp;utm_medium=email&amp;utm_campaign=mwk_sponsorship_1</v>
      </c>
    </row>
    <row r="29" customFormat="false" ht="30" hidden="false" customHeight="true" outlineLevel="0" collapsed="false">
      <c r="A29" s="9" t="s">
        <v>203</v>
      </c>
      <c r="B29" s="9" t="s">
        <v>102</v>
      </c>
      <c r="C29" s="9" t="s">
        <v>187</v>
      </c>
      <c r="D29" s="9" t="s">
        <v>204</v>
      </c>
      <c r="E29" s="9" t="s">
        <v>186</v>
      </c>
      <c r="F29" s="37" t="str">
        <f aca="false">E29 &amp; "?utm_source=" &amp; B29 &amp; "&amp;utm_medium=" &amp; C29 &amp; "&amp;utm_campaign=" &amp; D29</f>
        <v>https://frugavo.com/sign-up?utm_source=newsletter_ofdollarsanddata&amp;utm_medium=email&amp;utm_campaign=odd_sponsorship_1</v>
      </c>
    </row>
    <row r="30" customFormat="false" ht="30" hidden="false" customHeight="true" outlineLevel="0" collapsed="false">
      <c r="A30" s="9" t="s">
        <v>111</v>
      </c>
      <c r="B30" s="9" t="s">
        <v>114</v>
      </c>
      <c r="C30" s="9" t="s">
        <v>187</v>
      </c>
      <c r="D30" s="9" t="s">
        <v>205</v>
      </c>
      <c r="E30" s="9" t="s">
        <v>186</v>
      </c>
      <c r="F30" s="37" t="str">
        <f aca="false">E30 &amp; "?utm_source=" &amp; B30 &amp; "&amp;utm_medium=" &amp; C30 &amp; "&amp;utm_campaign=" &amp; D30</f>
        <v>https://frugavo.com/sign-up?utm_source=newsletter_indiehackers&amp;utm_medium=email&amp;utm_campaign=ih_sponsorship_1</v>
      </c>
    </row>
    <row r="31" customFormat="false" ht="30" hidden="false" customHeight="true" outlineLevel="0" collapsed="false">
      <c r="A31" s="9" t="s">
        <v>206</v>
      </c>
      <c r="B31" s="9" t="s">
        <v>106</v>
      </c>
      <c r="C31" s="9" t="s">
        <v>187</v>
      </c>
      <c r="D31" s="9" t="s">
        <v>207</v>
      </c>
      <c r="E31" s="9" t="s">
        <v>186</v>
      </c>
      <c r="F31" s="37" t="str">
        <f aca="false">E31 &amp; "?utm_source=" &amp; B31 &amp; "&amp;utm_medium=" &amp; C31 &amp; "&amp;utm_campaign=" &amp; D31</f>
        <v>https://frugavo.com/sign-up?utm_source=newsletter_theprofile&amp;utm_medium=email&amp;utm_campaign=tp_sponsorship_1</v>
      </c>
    </row>
    <row r="32" customFormat="false" ht="30" hidden="false" customHeight="true" outlineLevel="0" collapsed="false">
      <c r="A32" s="9" t="s">
        <v>208</v>
      </c>
      <c r="B32" s="9" t="s">
        <v>110</v>
      </c>
      <c r="C32" s="9" t="s">
        <v>187</v>
      </c>
      <c r="D32" s="9" t="s">
        <v>209</v>
      </c>
      <c r="E32" s="9" t="s">
        <v>186</v>
      </c>
      <c r="F32" s="37" t="str">
        <f aca="false">E32 &amp; "?utm_source=" &amp; B32 &amp; "&amp;utm_medium=" &amp; C32 &amp; "&amp;utm_campaign=" &amp; D32</f>
        <v>https://frugavo.com/sign-up?utm_source=newsletter_thepourover&amp;utm_medium=email&amp;utm_campaign=tpo_sponsorship_1</v>
      </c>
    </row>
    <row r="33" customFormat="false" ht="30" hidden="false" customHeight="true" outlineLevel="0" collapsed="false">
      <c r="A33" s="9" t="s">
        <v>210</v>
      </c>
      <c r="B33" s="9" t="s">
        <v>211</v>
      </c>
      <c r="C33" s="9" t="s">
        <v>212</v>
      </c>
      <c r="D33" s="9" t="s">
        <v>213</v>
      </c>
      <c r="E33" s="9" t="s">
        <v>186</v>
      </c>
      <c r="F33" s="37" t="str">
        <f aca="false">E33 &amp; "?utm_source=" &amp; B33 &amp; "&amp;utm_medium=" &amp; C33 &amp; "&amp;utm_campaign=" &amp; D33</f>
        <v>https://frugavo.com/sign-up?utm_source=google&amp;utm_medium=cpc&amp;utm_campaign=intent_kw_pilot</v>
      </c>
    </row>
    <row r="34" customFormat="false" ht="30" hidden="false" customHeight="true" outlineLevel="0" collapsed="false">
      <c r="A34" s="9" t="s">
        <v>48</v>
      </c>
      <c r="B34" s="9" t="s">
        <v>214</v>
      </c>
      <c r="C34" s="9" t="s">
        <v>215</v>
      </c>
      <c r="D34" s="9" t="s">
        <v>216</v>
      </c>
      <c r="E34" s="9" t="s">
        <v>197</v>
      </c>
      <c r="F34" s="37" t="str">
        <f aca="false">E34 &amp; "?utm_source=" &amp; B34 &amp; "&amp;utm_medium=" &amp; C34 &amp; "&amp;utm_campaign=" &amp; D34</f>
        <v>https://frugavo.com?utm_source=producthunt&amp;utm_medium=referral&amp;utm_campaign=ph_launch</v>
      </c>
    </row>
    <row r="35" customFormat="false" ht="30" hidden="false" customHeight="true" outlineLevel="0" collapsed="false">
      <c r="A35" s="9" t="s">
        <v>54</v>
      </c>
      <c r="B35" s="9" t="s">
        <v>217</v>
      </c>
      <c r="C35" s="9" t="s">
        <v>215</v>
      </c>
      <c r="D35" s="9" t="s">
        <v>218</v>
      </c>
      <c r="E35" s="9" t="s">
        <v>197</v>
      </c>
      <c r="F35" s="37" t="str">
        <f aca="false">E35 &amp; "?utm_source=" &amp; B35 &amp; "&amp;utm_medium=" &amp; C35 &amp; "&amp;utm_campaign=" &amp; D35</f>
        <v>https://frugavo.com?utm_source=hn&amp;utm_medium=referral&amp;utm_campaign=hn_show</v>
      </c>
    </row>
    <row r="36" customFormat="false" ht="30" hidden="false" customHeight="true" outlineLevel="0" collapsed="false">
      <c r="A36" s="9" t="s">
        <v>219</v>
      </c>
      <c r="B36" s="9" t="s">
        <v>220</v>
      </c>
      <c r="C36" s="9" t="s">
        <v>215</v>
      </c>
      <c r="D36" s="9" t="s">
        <v>221</v>
      </c>
      <c r="E36" s="9" t="s">
        <v>197</v>
      </c>
      <c r="F36" s="37" t="str">
        <f aca="false">E36 &amp; "?utm_source=" &amp; B36 &amp; "&amp;utm_medium=" &amp; C36 &amp; "&amp;utm_campaign=" &amp; D36</f>
        <v>https://frugavo.com?utm_source=reddit_personalfinance&amp;utm_medium=referral&amp;utm_campaign=reddit_organic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2026-05-29T07:50:26Z</dcterms:created>
  <dc:creator>openpyxl</dc:creator>
  <dc:description/>
  <dc:language>en-US</dc:language>
  <cp:lastModifiedBy/>
  <dcterms:modified xsi:type="dcterms:W3CDTF">2026-05-29T07:50:27Z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